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esume projects\New folder\"/>
    </mc:Choice>
  </mc:AlternateContent>
  <xr:revisionPtr revIDLastSave="0" documentId="13_ncr:1_{35A5C739-9E2A-4878-A593-4D0D8DB50520}" xr6:coauthVersionLast="47" xr6:coauthVersionMax="47" xr10:uidLastSave="{00000000-0000-0000-0000-000000000000}"/>
  <bookViews>
    <workbookView xWindow="-108" yWindow="-108" windowWidth="23256" windowHeight="13896" xr2:uid="{00000000-000D-0000-FFFF-FFFF00000000}"/>
  </bookViews>
  <sheets>
    <sheet name="Dashboard" sheetId="9" r:id="rId1"/>
    <sheet name="LPP Solver Model" sheetId="1" r:id="rId2"/>
    <sheet name="Answer Report 1" sheetId="25" r:id="rId3"/>
    <sheet name="Sensitivity Report 1" sheetId="26" r:id="rId4"/>
    <sheet name="Transportation Model" sheetId="27" r:id="rId5"/>
    <sheet name="Answer Report 2" sheetId="28" r:id="rId6"/>
    <sheet name="Sensitivity Report 2" sheetId="29" r:id="rId7"/>
  </sheets>
  <definedNames>
    <definedName name="solver_adj" localSheetId="1" hidden="1">'LPP Solver Model'!$B$30:$C$30</definedName>
    <definedName name="solver_adj" localSheetId="4" hidden="1">'Transportation Model'!$B$49:$E$52</definedName>
    <definedName name="solver_cvg" localSheetId="1" hidden="1">0.0001</definedName>
    <definedName name="solver_cvg" localSheetId="4" hidden="1">0.0001</definedName>
    <definedName name="solver_drv" localSheetId="1" hidden="1">1</definedName>
    <definedName name="solver_drv" localSheetId="4" hidden="1">1</definedName>
    <definedName name="solver_eng" localSheetId="1" hidden="1">2</definedName>
    <definedName name="solver_eng" localSheetId="4" hidden="1">2</definedName>
    <definedName name="solver_est" localSheetId="1" hidden="1">1</definedName>
    <definedName name="solver_est" localSheetId="4" hidden="1">1</definedName>
    <definedName name="solver_itr" localSheetId="1" hidden="1">2147483647</definedName>
    <definedName name="solver_itr" localSheetId="4" hidden="1">2147483647</definedName>
    <definedName name="solver_lhs1" localSheetId="1" hidden="1">'LPP Solver Model'!$E$34:$E$38</definedName>
    <definedName name="solver_lhs1" localSheetId="4" hidden="1">'Transportation Model'!$B$53:$E$53</definedName>
    <definedName name="solver_lhs2" localSheetId="1" hidden="1">'LPP Solver Model'!$E$34:$E$38</definedName>
    <definedName name="solver_lhs2" localSheetId="4" hidden="1">'Transportation Model'!$F$49:$F$52</definedName>
    <definedName name="solver_mip" localSheetId="1" hidden="1">2147483647</definedName>
    <definedName name="solver_mip" localSheetId="4" hidden="1">2147483647</definedName>
    <definedName name="solver_mni" localSheetId="1" hidden="1">30</definedName>
    <definedName name="solver_mni" localSheetId="4" hidden="1">30</definedName>
    <definedName name="solver_mrt" localSheetId="1" hidden="1">0.075</definedName>
    <definedName name="solver_mrt" localSheetId="4" hidden="1">0.075</definedName>
    <definedName name="solver_msl" localSheetId="1" hidden="1">2</definedName>
    <definedName name="solver_msl" localSheetId="4" hidden="1">2</definedName>
    <definedName name="solver_neg" localSheetId="1" hidden="1">1</definedName>
    <definedName name="solver_neg" localSheetId="4" hidden="1">1</definedName>
    <definedName name="solver_nod" localSheetId="1" hidden="1">2147483647</definedName>
    <definedName name="solver_nod" localSheetId="4" hidden="1">2147483647</definedName>
    <definedName name="solver_num" localSheetId="1" hidden="1">1</definedName>
    <definedName name="solver_num" localSheetId="4" hidden="1">2</definedName>
    <definedName name="solver_nwt" localSheetId="1" hidden="1">1</definedName>
    <definedName name="solver_nwt" localSheetId="4" hidden="1">1</definedName>
    <definedName name="solver_opt" localSheetId="1" hidden="1">'LPP Solver Model'!$F$31</definedName>
    <definedName name="solver_opt" localSheetId="4" hidden="1">'Transportation Model'!$B$58</definedName>
    <definedName name="solver_pre" localSheetId="1" hidden="1">0.000001</definedName>
    <definedName name="solver_pre" localSheetId="4" hidden="1">0.000001</definedName>
    <definedName name="solver_rbv" localSheetId="1" hidden="1">1</definedName>
    <definedName name="solver_rbv" localSheetId="4" hidden="1">1</definedName>
    <definedName name="solver_rel1" localSheetId="1" hidden="1">1</definedName>
    <definedName name="solver_rel1" localSheetId="4" hidden="1">3</definedName>
    <definedName name="solver_rel2" localSheetId="1" hidden="1">1</definedName>
    <definedName name="solver_rel2" localSheetId="4" hidden="1">1</definedName>
    <definedName name="solver_rhs1" localSheetId="1" hidden="1">'LPP Solver Model'!$G$34:$G$38</definedName>
    <definedName name="solver_rhs1" localSheetId="4" hidden="1">'Transportation Model'!$B$54:$E$54</definedName>
    <definedName name="solver_rhs2" localSheetId="1" hidden="1">'LPP Solver Model'!$G$34:$G$38</definedName>
    <definedName name="solver_rhs2" localSheetId="4" hidden="1">'Transportation Model'!$G$49:$G$52</definedName>
    <definedName name="solver_rlx" localSheetId="1" hidden="1">2</definedName>
    <definedName name="solver_rlx" localSheetId="4" hidden="1">2</definedName>
    <definedName name="solver_rsd" localSheetId="1" hidden="1">0</definedName>
    <definedName name="solver_rsd" localSheetId="4" hidden="1">0</definedName>
    <definedName name="solver_scl" localSheetId="1" hidden="1">1</definedName>
    <definedName name="solver_scl" localSheetId="4" hidden="1">1</definedName>
    <definedName name="solver_sho" localSheetId="1" hidden="1">2</definedName>
    <definedName name="solver_sho" localSheetId="4" hidden="1">2</definedName>
    <definedName name="solver_ssz" localSheetId="1" hidden="1">100</definedName>
    <definedName name="solver_ssz" localSheetId="4" hidden="1">100</definedName>
    <definedName name="solver_tim" localSheetId="1" hidden="1">2147483647</definedName>
    <definedName name="solver_tim" localSheetId="4" hidden="1">2147483647</definedName>
    <definedName name="solver_tol" localSheetId="1" hidden="1">0.01</definedName>
    <definedName name="solver_tol" localSheetId="4" hidden="1">0.01</definedName>
    <definedName name="solver_typ" localSheetId="1" hidden="1">1</definedName>
    <definedName name="solver_typ" localSheetId="4" hidden="1">2</definedName>
    <definedName name="solver_val" localSheetId="1" hidden="1">0</definedName>
    <definedName name="solver_val" localSheetId="4" hidden="1">0</definedName>
    <definedName name="solver_ver" localSheetId="1" hidden="1">3</definedName>
    <definedName name="solver_ver" localSheetId="4"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9" l="1"/>
  <c r="D14" i="9"/>
  <c r="B52" i="1"/>
  <c r="B53" i="1"/>
  <c r="B54" i="1"/>
  <c r="B55" i="1"/>
  <c r="B51" i="1"/>
  <c r="B47" i="1"/>
  <c r="B46" i="1"/>
  <c r="B45" i="1"/>
  <c r="C55" i="1"/>
  <c r="E55" i="1" s="1"/>
  <c r="C51" i="1"/>
  <c r="E51" i="1" s="1"/>
  <c r="G38" i="1"/>
  <c r="G34" i="1"/>
  <c r="F20" i="27"/>
  <c r="F21" i="27"/>
  <c r="F22" i="27"/>
  <c r="F23" i="27"/>
  <c r="F24" i="27"/>
  <c r="F25" i="27"/>
  <c r="F26" i="27"/>
  <c r="F27" i="27"/>
  <c r="F28" i="27"/>
  <c r="F29" i="27"/>
  <c r="F30" i="27"/>
  <c r="F31" i="27"/>
  <c r="F32" i="27"/>
  <c r="F33" i="27"/>
  <c r="F34" i="27"/>
  <c r="F19" i="27"/>
  <c r="B58" i="27"/>
  <c r="F50" i="27"/>
  <c r="F51" i="27"/>
  <c r="F52" i="27"/>
  <c r="F49" i="27"/>
  <c r="C53" i="27"/>
  <c r="D53" i="27"/>
  <c r="E53" i="27"/>
  <c r="B53" i="27"/>
  <c r="E52" i="1"/>
  <c r="E53" i="1"/>
  <c r="E54" i="1"/>
  <c r="D52" i="1"/>
  <c r="D53" i="1"/>
  <c r="D54" i="1"/>
  <c r="D55" i="1"/>
  <c r="D51" i="1"/>
  <c r="C15" i="1"/>
  <c r="B15" i="1"/>
  <c r="F31" i="1"/>
  <c r="E35" i="1"/>
  <c r="E36" i="1"/>
  <c r="E37" i="1"/>
  <c r="E38" i="1"/>
  <c r="E34" i="1"/>
</calcChain>
</file>

<file path=xl/sharedStrings.xml><?xml version="1.0" encoding="utf-8"?>
<sst xmlns="http://schemas.openxmlformats.org/spreadsheetml/2006/main" count="456" uniqueCount="224">
  <si>
    <t>Decision Variables</t>
  </si>
  <si>
    <t>X_G (GHC)</t>
  </si>
  <si>
    <t>X_N (NSC)</t>
  </si>
  <si>
    <t>Final Value (Camps to run)</t>
  </si>
  <si>
    <t>Objective Coefficients (Impact)</t>
  </si>
  <si>
    <t>Constraints</t>
  </si>
  <si>
    <t>Resource</t>
  </si>
  <si>
    <t>Used</t>
  </si>
  <si>
    <t>Available</t>
  </si>
  <si>
    <t>Budget</t>
  </si>
  <si>
    <t>&lt;=</t>
  </si>
  <si>
    <t>Doctor-Hours</t>
  </si>
  <si>
    <t>Nurse-Hours</t>
  </si>
  <si>
    <t>NCD Kits</t>
  </si>
  <si>
    <t>Logistical Limit</t>
  </si>
  <si>
    <t>Microsoft Excel 16.0 Answer Report</t>
  </si>
  <si>
    <t>Result: Solver found a solution.  All Constraints and optimality conditions are satisfied.</t>
  </si>
  <si>
    <t>Solver Engine</t>
  </si>
  <si>
    <t>Engine: Simplex LP</t>
  </si>
  <si>
    <t>Solution Time: 0.016 Seconds.</t>
  </si>
  <si>
    <t>Solver Options</t>
  </si>
  <si>
    <t>Max Time Unlimited,  Iterations Unlimited, Precision 0.000001, Use Automatic Scaling</t>
  </si>
  <si>
    <t>Max Subproblems Unlimited, Max Integer Sols Unlimited, Integer Tolerance 1%, Assume NonNegative</t>
  </si>
  <si>
    <t>Objective Cell (Max)</t>
  </si>
  <si>
    <t>Cell</t>
  </si>
  <si>
    <t>Name</t>
  </si>
  <si>
    <t>Original Value</t>
  </si>
  <si>
    <t>Final Value</t>
  </si>
  <si>
    <t>Variable Cells</t>
  </si>
  <si>
    <t>Integer</t>
  </si>
  <si>
    <t>Cell Value</t>
  </si>
  <si>
    <t>Formula</t>
  </si>
  <si>
    <t>Status</t>
  </si>
  <si>
    <t>Slack</t>
  </si>
  <si>
    <t>Final Value (Camps to run) X_G (GHC)</t>
  </si>
  <si>
    <t>Contin</t>
  </si>
  <si>
    <t>Final Value (Camps to run) X_N (NSC)</t>
  </si>
  <si>
    <t>Not Binding</t>
  </si>
  <si>
    <t>Binding</t>
  </si>
  <si>
    <t>Microsoft Excel 16.0 Sensitivity Report</t>
  </si>
  <si>
    <t>Final</t>
  </si>
  <si>
    <t>Value</t>
  </si>
  <si>
    <t>Reduced</t>
  </si>
  <si>
    <t>Cost</t>
  </si>
  <si>
    <t>Objective</t>
  </si>
  <si>
    <t>Coefficient</t>
  </si>
  <si>
    <t>Allowable</t>
  </si>
  <si>
    <t>Increase</t>
  </si>
  <si>
    <t>Decrease</t>
  </si>
  <si>
    <t>Shadow</t>
  </si>
  <si>
    <t>Price</t>
  </si>
  <si>
    <t>Constraint</t>
  </si>
  <si>
    <t>R.H. Side</t>
  </si>
  <si>
    <t>Solution Time: 0.031 Seconds.</t>
  </si>
  <si>
    <t>Primary Bottleneck Identified</t>
  </si>
  <si>
    <t>13 GHCs, 2 NSCs</t>
  </si>
  <si>
    <t>Optimal Camp Mix</t>
  </si>
  <si>
    <t>Minimum Transportation Cost</t>
  </si>
  <si>
    <t>Maximum Health Impact Score</t>
  </si>
  <si>
    <t>Key Findings Summary</t>
  </si>
  <si>
    <t>Objective: To determine the most cost-effective plan for distributing medical supply kits from four storage units (sources) to four camp locations (destinations) to minimize total transportation costs.</t>
  </si>
  <si>
    <t>Model 2: Transportation Problem</t>
  </si>
  <si>
    <t>Model 1: Linear Programming Problem</t>
  </si>
  <si>
    <r>
      <rPr>
        <b/>
        <sz val="10"/>
        <color theme="9" tint="-0.499984740745262"/>
        <rFont val="Arial"/>
        <family val="2"/>
        <scheme val="minor"/>
      </rPr>
      <t>SNEHA</t>
    </r>
    <r>
      <rPr>
        <sz val="10"/>
        <color theme="1"/>
        <rFont val="Arial"/>
        <family val="2"/>
        <scheme val="minor"/>
      </rPr>
      <t xml:space="preserve"> (Society for Nutrition, Education and Health Action), a non-governmental organization, provides critical healthcare to vulnerable women and children in Mumbai's urban slums. Operating with limited resources, the organization faces two key operational challenges:                           1) How to select the optimal number of different medical camps to run each month to maximize community health impact.                                    2) How to distribute medical supplies from storage units to camp locations in the most cost-effective way.                                                        This workbook presents two operations research models developed to solve these problems and provide data-driven recommendations for strategic and logistical planning.</t>
    </r>
  </si>
  <si>
    <t>PROBLEM STATEMENT</t>
  </si>
  <si>
    <t>Optimization Models for SNEHA Healthcare Delivery</t>
  </si>
  <si>
    <t>Total Impact (Z):</t>
  </si>
  <si>
    <t>INPUT PARAMETERS</t>
  </si>
  <si>
    <t>Camp Type Metrics</t>
  </si>
  <si>
    <t>GHC</t>
  </si>
  <si>
    <t>NSC</t>
  </si>
  <si>
    <t>Patients per Camp</t>
  </si>
  <si>
    <t>Impact Weight per Patient</t>
  </si>
  <si>
    <t>Impact Score per Camp</t>
  </si>
  <si>
    <t>Resource Consumption per Camp</t>
  </si>
  <si>
    <t>Cost (₹)</t>
  </si>
  <si>
    <t>Nurse/Paramedic-Hours</t>
  </si>
  <si>
    <t>NCD Screening Kits</t>
  </si>
  <si>
    <t>Logistical Capacity (Camps)</t>
  </si>
  <si>
    <t>Resource Availability (RHS)</t>
  </si>
  <si>
    <t>Total Available</t>
  </si>
  <si>
    <t>Monthly Budget (₹)</t>
  </si>
  <si>
    <t>Total Doctor-Hours</t>
  </si>
  <si>
    <t>Total Nurse/Paramedic-Hours</t>
  </si>
  <si>
    <t>Total NCD Kits</t>
  </si>
  <si>
    <t>Total Logistical Capacity (Camps)</t>
  </si>
  <si>
    <t>LPP Solver Model: SNEHA Health Camp Optimization</t>
  </si>
  <si>
    <t>OUTPUT</t>
  </si>
  <si>
    <t>Optimal Solution Summary</t>
  </si>
  <si>
    <t>Optimal General Health Camps (GHC)</t>
  </si>
  <si>
    <t>Optimal NCD Screening Camps (NSC)</t>
  </si>
  <si>
    <t>Resource Utilization</t>
  </si>
  <si>
    <t>Budget (₹)</t>
  </si>
  <si>
    <t>Logistical Limit (Camps)</t>
  </si>
  <si>
    <t>Used (LHS)</t>
  </si>
  <si>
    <t>Available (RHS)</t>
  </si>
  <si>
    <t>% Utilization</t>
  </si>
  <si>
    <t>Worksheet: [Lpp Assignment.xlsx]LPP Solver Model</t>
  </si>
  <si>
    <t>$F$24</t>
  </si>
  <si>
    <t>Total Impact (Z): Total Available</t>
  </si>
  <si>
    <t>$B$23</t>
  </si>
  <si>
    <t>$C$23</t>
  </si>
  <si>
    <t>$E$27</t>
  </si>
  <si>
    <t>Budget Used (LHS)</t>
  </si>
  <si>
    <t>$E$27&lt;=$G$27</t>
  </si>
  <si>
    <t>$E$28</t>
  </si>
  <si>
    <t>Doctor-Hours Used (LHS)</t>
  </si>
  <si>
    <t>$E$28&lt;=$G$28</t>
  </si>
  <si>
    <t>$E$29</t>
  </si>
  <si>
    <t>Nurse-Hours Used (LHS)</t>
  </si>
  <si>
    <t>$E$29&lt;=$G$29</t>
  </si>
  <si>
    <t>$E$30</t>
  </si>
  <si>
    <t>NCD Kits Used (LHS)</t>
  </si>
  <si>
    <t>$E$30&lt;=$G$30</t>
  </si>
  <si>
    <t>$E$31</t>
  </si>
  <si>
    <t>Logistical Limit Used (LHS)</t>
  </si>
  <si>
    <t>$E$31&lt;=$G$31</t>
  </si>
  <si>
    <t>Report Created: 29-10-2025 13:37:11</t>
  </si>
  <si>
    <t>Iterations: 3 Subproblems: 0</t>
  </si>
  <si>
    <t>Supply (Sources)</t>
  </si>
  <si>
    <t>Demand (Destinations)</t>
  </si>
  <si>
    <t>Storage Unit</t>
  </si>
  <si>
    <t>Supply (Kits)</t>
  </si>
  <si>
    <t>Camp Location</t>
  </si>
  <si>
    <t>Demand (Kits)</t>
  </si>
  <si>
    <t>S1: Andheri</t>
  </si>
  <si>
    <t>D1: Dharavi</t>
  </si>
  <si>
    <t>S2: Dadar</t>
  </si>
  <si>
    <t>D2: Mankhurd</t>
  </si>
  <si>
    <t>S3: Chembur</t>
  </si>
  <si>
    <t>D3: Govandi</t>
  </si>
  <si>
    <t>S4: Bandra</t>
  </si>
  <si>
    <t>D4: Malad</t>
  </si>
  <si>
    <t>Total</t>
  </si>
  <si>
    <t>Cost Formula: Unit Cost = (Distance * ₹10/km) + (Travel Time * ₹300/hr)</t>
  </si>
  <si>
    <t>Route</t>
  </si>
  <si>
    <t>From</t>
  </si>
  <si>
    <t>To</t>
  </si>
  <si>
    <t>Distance (km)</t>
  </si>
  <si>
    <t>Travel Time (hr)</t>
  </si>
  <si>
    <t>Unit Cost (₹)</t>
  </si>
  <si>
    <t xml:space="preserve">Total Shipped </t>
  </si>
  <si>
    <t>Supply Limit</t>
  </si>
  <si>
    <t>Total Received</t>
  </si>
  <si>
    <t>Demand Required</t>
  </si>
  <si>
    <t>Allocation Plan (Kits)</t>
  </si>
  <si>
    <t>Total Minimum Transportation Cost (₹)</t>
  </si>
  <si>
    <t>Worksheet: [Lpp Assignment.xlsx]Transportation Problem</t>
  </si>
  <si>
    <t>Report Created: 29-10-2025 16:56:36</t>
  </si>
  <si>
    <t>Iterations: 14 Subproblems: 0</t>
  </si>
  <si>
    <t>Objective Cell (Min)</t>
  </si>
  <si>
    <t>$B$49</t>
  </si>
  <si>
    <t>Total Minimum Transportation Cost (₹) D1: Dharavi</t>
  </si>
  <si>
    <t>$B$39</t>
  </si>
  <si>
    <t>S1: Andheri D1: Dharavi</t>
  </si>
  <si>
    <t>$C$39</t>
  </si>
  <si>
    <t>S1: Andheri D2: Mankhurd</t>
  </si>
  <si>
    <t>$D$39</t>
  </si>
  <si>
    <t>S1: Andheri D3: Govandi</t>
  </si>
  <si>
    <t>$E$39</t>
  </si>
  <si>
    <t>S1: Andheri D4: Malad</t>
  </si>
  <si>
    <t>$B$40</t>
  </si>
  <si>
    <t>S2: Dadar D1: Dharavi</t>
  </si>
  <si>
    <t>$C$40</t>
  </si>
  <si>
    <t>S2: Dadar D2: Mankhurd</t>
  </si>
  <si>
    <t>$D$40</t>
  </si>
  <si>
    <t>S2: Dadar D3: Govandi</t>
  </si>
  <si>
    <t>$E$40</t>
  </si>
  <si>
    <t>S2: Dadar D4: Malad</t>
  </si>
  <si>
    <t>$B$41</t>
  </si>
  <si>
    <t>S3: Chembur D1: Dharavi</t>
  </si>
  <si>
    <t>$C$41</t>
  </si>
  <si>
    <t>S3: Chembur D2: Mankhurd</t>
  </si>
  <si>
    <t>$D$41</t>
  </si>
  <si>
    <t>S3: Chembur D3: Govandi</t>
  </si>
  <si>
    <t>$E$41</t>
  </si>
  <si>
    <t>S3: Chembur D4: Malad</t>
  </si>
  <si>
    <t>$B$42</t>
  </si>
  <si>
    <t>S4: Bandra D1: Dharavi</t>
  </si>
  <si>
    <t>$C$42</t>
  </si>
  <si>
    <t>S4: Bandra D2: Mankhurd</t>
  </si>
  <si>
    <t>$D$42</t>
  </si>
  <si>
    <t>S4: Bandra D3: Govandi</t>
  </si>
  <si>
    <t>$E$42</t>
  </si>
  <si>
    <t>S4: Bandra D4: Malad</t>
  </si>
  <si>
    <t>$B$44</t>
  </si>
  <si>
    <t>Total Received D1: Dharavi</t>
  </si>
  <si>
    <t>$B$44&gt;=$B$45</t>
  </si>
  <si>
    <t>$C$44</t>
  </si>
  <si>
    <t>Total Received D2: Mankhurd</t>
  </si>
  <si>
    <t>$C$44&gt;=$C$45</t>
  </si>
  <si>
    <t>$D$44</t>
  </si>
  <si>
    <t>Total Received D3: Govandi</t>
  </si>
  <si>
    <t>$D$44&gt;=$D$45</t>
  </si>
  <si>
    <t>$E$44</t>
  </si>
  <si>
    <t>Total Received D4: Malad</t>
  </si>
  <si>
    <t>$E$44&gt;=$E$45</t>
  </si>
  <si>
    <t>$G$39</t>
  </si>
  <si>
    <t xml:space="preserve">S1: Andheri Total Shipped </t>
  </si>
  <si>
    <t>$G$39&lt;=$H$39</t>
  </si>
  <si>
    <t>$G$40</t>
  </si>
  <si>
    <t xml:space="preserve">S2: Dadar Total Shipped </t>
  </si>
  <si>
    <t>$G$40&lt;=$H$40</t>
  </si>
  <si>
    <t>$G$41</t>
  </si>
  <si>
    <t xml:space="preserve">S3: Chembur Total Shipped </t>
  </si>
  <si>
    <t>$G$41&lt;=$H$41</t>
  </si>
  <si>
    <t>$G$42</t>
  </si>
  <si>
    <t xml:space="preserve">S4: Bandra Total Shipped </t>
  </si>
  <si>
    <t>$G$42&lt;=$H$42</t>
  </si>
  <si>
    <t>Report Created: 29-10-2025 16:56:37</t>
  </si>
  <si>
    <t>COST JUSTIFICATION</t>
  </si>
  <si>
    <t>TRANSPORTATION MODEL</t>
  </si>
  <si>
    <t>Unit Cost Matrix (₹)</t>
  </si>
  <si>
    <t>OPTIMAL SOLUTION &amp; OUTPUT</t>
  </si>
  <si>
    <t xml:space="preserve"> INPUTS &amp; PARAMETERS</t>
  </si>
  <si>
    <t>Logistical Capacity, Budget</t>
  </si>
  <si>
    <t>Decision Variables :</t>
  </si>
  <si>
    <t>Calculated Areas :</t>
  </si>
  <si>
    <t>Objective Function :</t>
  </si>
  <si>
    <t>SCENARIO PLANNER</t>
  </si>
  <si>
    <t>NEW BUDGET (₹)</t>
  </si>
  <si>
    <t>NEW LOGISTICAL LIMIT (CAMPS TO RUN)</t>
  </si>
  <si>
    <r>
      <rPr>
        <b/>
        <u/>
        <sz val="12"/>
        <color rgb="FF000000"/>
        <rFont val="Arial"/>
        <family val="2"/>
        <scheme val="minor"/>
      </rPr>
      <t>"What-If" Scenario Planner</t>
    </r>
    <r>
      <rPr>
        <sz val="10"/>
        <color rgb="FF000000"/>
        <rFont val="Arial"/>
        <family val="2"/>
        <scheme val="minor"/>
      </rPr>
      <t xml:space="preserve">
This tool turns the model from a static answer into a live decision-making dashboard. It answers the question: "What should our strategy be if our resources change?"
</t>
    </r>
    <r>
      <rPr>
        <b/>
        <u/>
        <sz val="10"/>
        <color rgb="FF000000"/>
        <rFont val="Arial"/>
        <family val="2"/>
        <scheme val="minor"/>
      </rPr>
      <t>How it works:</t>
    </r>
    <r>
      <rPr>
        <sz val="10"/>
        <color rgb="FF000000"/>
        <rFont val="Arial"/>
        <family val="2"/>
        <scheme val="minor"/>
      </rPr>
      <t xml:space="preserve">
1) Enter a new number for the Budget or Logistical Limit in the cells.                                                               2) Go to the Data tab and open Solver.
3) Click "Solve" to see how the optimal camp plan adapts instantly to your new scenario.</t>
    </r>
  </si>
  <si>
    <t xml:space="preserve">Objective: To determine the optimal monthly mix of General Health Camps (GHC) and NCD Screening Camps (NSC) to maximize the total Health Impact Score, subject to constraints on budget, staff hours, and logistics.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</si>
</sst>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9" x14ac:knownFonts="1">
    <font>
      <sz val="10"/>
      <color rgb="FF000000"/>
      <name val="Arial"/>
      <scheme val="minor"/>
    </font>
    <font>
      <sz val="11"/>
      <color theme="1"/>
      <name val="Arial"/>
      <family val="2"/>
      <scheme val="minor"/>
    </font>
    <font>
      <sz val="10"/>
      <color theme="1"/>
      <name val="Arial"/>
      <family val="2"/>
      <scheme val="minor"/>
    </font>
    <font>
      <b/>
      <sz val="10"/>
      <color rgb="FF000000"/>
      <name val="Arial"/>
      <family val="2"/>
      <scheme val="minor"/>
    </font>
    <font>
      <b/>
      <sz val="10"/>
      <color indexed="18"/>
      <name val="Arial"/>
      <family val="2"/>
      <scheme val="minor"/>
    </font>
    <font>
      <b/>
      <sz val="22"/>
      <color theme="9" tint="-0.499984740745262"/>
      <name val="Arial"/>
      <family val="2"/>
      <scheme val="minor"/>
    </font>
    <font>
      <sz val="10"/>
      <color rgb="FF000000"/>
      <name val="Arial"/>
      <family val="2"/>
      <scheme val="minor"/>
    </font>
    <font>
      <b/>
      <sz val="16"/>
      <color theme="0"/>
      <name val="Arial"/>
      <family val="2"/>
      <scheme val="minor"/>
    </font>
    <font>
      <sz val="10"/>
      <color theme="1"/>
      <name val="Arial"/>
      <family val="2"/>
      <scheme val="minor"/>
    </font>
    <font>
      <b/>
      <sz val="10"/>
      <color theme="9" tint="-0.499984740745262"/>
      <name val="Arial"/>
      <family val="2"/>
      <scheme val="minor"/>
    </font>
    <font>
      <b/>
      <sz val="22"/>
      <color theme="0"/>
      <name val="Arial"/>
      <family val="2"/>
      <scheme val="minor"/>
    </font>
    <font>
      <sz val="10"/>
      <color theme="0"/>
      <name val="Arial"/>
      <family val="2"/>
      <scheme val="minor"/>
    </font>
    <font>
      <b/>
      <sz val="10"/>
      <color theme="0"/>
      <name val="Arial"/>
      <family val="2"/>
      <scheme val="minor"/>
    </font>
    <font>
      <b/>
      <sz val="12"/>
      <color theme="0"/>
      <name val="Arial"/>
      <family val="2"/>
      <scheme val="minor"/>
    </font>
    <font>
      <b/>
      <sz val="12"/>
      <color theme="1"/>
      <name val="Arial"/>
      <family val="2"/>
      <scheme val="minor"/>
    </font>
    <font>
      <b/>
      <sz val="14"/>
      <color theme="0"/>
      <name val="Arial"/>
      <family val="2"/>
      <scheme val="minor"/>
    </font>
    <font>
      <b/>
      <sz val="12"/>
      <color rgb="FF000000"/>
      <name val="Arial"/>
      <family val="2"/>
      <scheme val="minor"/>
    </font>
    <font>
      <b/>
      <u/>
      <sz val="12"/>
      <color rgb="FF000000"/>
      <name val="Arial"/>
      <family val="2"/>
      <scheme val="minor"/>
    </font>
    <font>
      <b/>
      <u/>
      <sz val="10"/>
      <color rgb="FF000000"/>
      <name val="Arial"/>
      <family val="2"/>
      <scheme val="minor"/>
    </font>
  </fonts>
  <fills count="22">
    <fill>
      <patternFill patternType="none"/>
    </fill>
    <fill>
      <patternFill patternType="gray125"/>
    </fill>
    <fill>
      <patternFill patternType="solid">
        <fgColor rgb="FFFFFF00"/>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theme="9" tint="-0.499984740745262"/>
        <bgColor indexed="64"/>
      </patternFill>
    </fill>
    <fill>
      <patternFill patternType="solid">
        <fgColor theme="7" tint="-0.499984740745262"/>
        <bgColor indexed="64"/>
      </patternFill>
    </fill>
    <fill>
      <patternFill patternType="solid">
        <fgColor theme="7" tint="0.59999389629810485"/>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2"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8" tint="0.79998168889431442"/>
        <bgColor indexed="64"/>
      </patternFill>
    </fill>
  </fills>
  <borders count="19">
    <border>
      <left/>
      <right/>
      <top/>
      <bottom/>
      <diagonal/>
    </border>
    <border>
      <left/>
      <right/>
      <top style="medium">
        <color indexed="23"/>
      </top>
      <bottom/>
      <diagonal/>
    </border>
    <border>
      <left/>
      <right/>
      <top/>
      <bottom style="medium">
        <color indexed="23"/>
      </bottom>
      <diagonal/>
    </border>
    <border>
      <left/>
      <right/>
      <top style="medium">
        <color indexed="23"/>
      </top>
      <bottom style="medium">
        <color indexed="23"/>
      </bottom>
      <diagonal/>
    </border>
    <border>
      <left/>
      <right/>
      <top style="thin">
        <color indexed="23"/>
      </top>
      <bottom style="medium">
        <color indexed="23"/>
      </bottom>
      <diagonal/>
    </border>
    <border>
      <left/>
      <right/>
      <top style="thin">
        <color indexed="23"/>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0" fontId="6" fillId="0" borderId="0"/>
  </cellStyleXfs>
  <cellXfs count="86">
    <xf numFmtId="0" fontId="0" fillId="0" borderId="0" xfId="0"/>
    <xf numFmtId="0" fontId="2" fillId="0" borderId="0" xfId="0" applyFont="1"/>
    <xf numFmtId="0" fontId="3" fillId="0" borderId="0" xfId="0" applyFont="1"/>
    <xf numFmtId="0" fontId="0" fillId="0" borderId="4" xfId="0" applyBorder="1"/>
    <xf numFmtId="0" fontId="4" fillId="0" borderId="3" xfId="0" applyFont="1" applyBorder="1" applyAlignment="1">
      <alignment horizontal="center"/>
    </xf>
    <xf numFmtId="0" fontId="0" fillId="0" borderId="5" xfId="0" applyBorder="1"/>
    <xf numFmtId="0" fontId="4" fillId="0" borderId="1" xfId="0" applyFont="1" applyBorder="1" applyAlignment="1">
      <alignment horizontal="center"/>
    </xf>
    <xf numFmtId="0" fontId="4" fillId="0" borderId="2" xfId="0" applyFont="1" applyBorder="1" applyAlignment="1">
      <alignment horizontal="center"/>
    </xf>
    <xf numFmtId="0" fontId="0" fillId="0" borderId="0" xfId="0" applyAlignment="1">
      <alignment horizontal="center"/>
    </xf>
    <xf numFmtId="0" fontId="6" fillId="0" borderId="0" xfId="1"/>
    <xf numFmtId="0" fontId="1" fillId="0" borderId="6" xfId="1" applyFont="1" applyBorder="1"/>
    <xf numFmtId="0" fontId="8" fillId="0" borderId="0" xfId="1" applyFont="1"/>
    <xf numFmtId="0" fontId="8" fillId="0" borderId="0" xfId="0" applyFont="1"/>
    <xf numFmtId="0" fontId="8" fillId="0" borderId="6" xfId="0" applyFont="1" applyBorder="1"/>
    <xf numFmtId="3" fontId="8" fillId="0" borderId="6" xfId="0" applyNumberFormat="1" applyFont="1" applyBorder="1"/>
    <xf numFmtId="0" fontId="13" fillId="3" borderId="6" xfId="0" applyFont="1" applyFill="1" applyBorder="1"/>
    <xf numFmtId="0" fontId="2" fillId="0" borderId="6" xfId="0" applyFont="1" applyBorder="1"/>
    <xf numFmtId="0" fontId="14" fillId="7" borderId="6" xfId="0" applyFont="1" applyFill="1" applyBorder="1"/>
    <xf numFmtId="0" fontId="14" fillId="8" borderId="6" xfId="0" applyFont="1" applyFill="1" applyBorder="1"/>
    <xf numFmtId="0" fontId="13" fillId="8" borderId="6" xfId="0" applyFont="1" applyFill="1" applyBorder="1"/>
    <xf numFmtId="0" fontId="2" fillId="0" borderId="6" xfId="0" applyFont="1" applyBorder="1" applyAlignment="1">
      <alignment horizontal="center"/>
    </xf>
    <xf numFmtId="0" fontId="13" fillId="8" borderId="6" xfId="0" applyFont="1" applyFill="1" applyBorder="1" applyAlignment="1">
      <alignment horizontal="center"/>
    </xf>
    <xf numFmtId="0" fontId="13" fillId="8" borderId="6" xfId="0" applyFont="1" applyFill="1" applyBorder="1" applyAlignment="1">
      <alignment horizontal="center" vertical="center"/>
    </xf>
    <xf numFmtId="0" fontId="12" fillId="8" borderId="6" xfId="0" applyFont="1" applyFill="1" applyBorder="1"/>
    <xf numFmtId="0" fontId="13" fillId="9" borderId="0" xfId="0" applyFont="1" applyFill="1"/>
    <xf numFmtId="0" fontId="8" fillId="10" borderId="6" xfId="0" applyFont="1" applyFill="1" applyBorder="1"/>
    <xf numFmtId="10" fontId="0" fillId="0" borderId="6" xfId="0" applyNumberFormat="1" applyBorder="1"/>
    <xf numFmtId="0" fontId="0" fillId="0" borderId="6" xfId="0" applyBorder="1"/>
    <xf numFmtId="0" fontId="2" fillId="11" borderId="6" xfId="0" applyFont="1" applyFill="1" applyBorder="1"/>
    <xf numFmtId="0" fontId="2" fillId="10" borderId="6" xfId="0" applyFont="1" applyFill="1" applyBorder="1"/>
    <xf numFmtId="0" fontId="15" fillId="14" borderId="13" xfId="0" applyFont="1" applyFill="1" applyBorder="1"/>
    <xf numFmtId="0" fontId="13" fillId="15" borderId="6" xfId="0" applyFont="1" applyFill="1" applyBorder="1"/>
    <xf numFmtId="0" fontId="12" fillId="15" borderId="6" xfId="0" applyFont="1" applyFill="1" applyBorder="1"/>
    <xf numFmtId="0" fontId="2" fillId="12" borderId="6" xfId="0" applyFont="1" applyFill="1" applyBorder="1"/>
    <xf numFmtId="0" fontId="0" fillId="12" borderId="6" xfId="0" applyFill="1" applyBorder="1"/>
    <xf numFmtId="0" fontId="2" fillId="16" borderId="6" xfId="0" applyFont="1" applyFill="1" applyBorder="1"/>
    <xf numFmtId="0" fontId="0" fillId="17" borderId="6" xfId="0" applyFill="1" applyBorder="1"/>
    <xf numFmtId="0" fontId="15" fillId="13" borderId="6" xfId="0" applyFont="1" applyFill="1" applyBorder="1"/>
    <xf numFmtId="0" fontId="14" fillId="0" borderId="6" xfId="1" applyFont="1" applyBorder="1"/>
    <xf numFmtId="3" fontId="14" fillId="0" borderId="6" xfId="1" applyNumberFormat="1" applyFont="1" applyBorder="1" applyAlignment="1">
      <alignment horizontal="left"/>
    </xf>
    <xf numFmtId="6" fontId="14" fillId="0" borderId="6" xfId="1" applyNumberFormat="1" applyFont="1" applyBorder="1" applyAlignment="1">
      <alignment horizontal="left"/>
    </xf>
    <xf numFmtId="0" fontId="8" fillId="12" borderId="6" xfId="0" applyFont="1" applyFill="1" applyBorder="1"/>
    <xf numFmtId="3" fontId="8" fillId="12" borderId="6" xfId="0" applyNumberFormat="1" applyFont="1" applyFill="1" applyBorder="1"/>
    <xf numFmtId="0" fontId="11" fillId="15" borderId="6" xfId="0" applyFont="1" applyFill="1" applyBorder="1"/>
    <xf numFmtId="0" fontId="2" fillId="2" borderId="6" xfId="0" applyFont="1" applyFill="1" applyBorder="1"/>
    <xf numFmtId="0" fontId="0" fillId="2" borderId="6" xfId="0" applyFill="1" applyBorder="1"/>
    <xf numFmtId="0" fontId="0" fillId="16" borderId="6" xfId="0" applyFill="1" applyBorder="1"/>
    <xf numFmtId="0" fontId="0" fillId="7" borderId="6" xfId="0" applyFill="1" applyBorder="1"/>
    <xf numFmtId="0" fontId="6" fillId="0" borderId="6" xfId="0" applyFont="1" applyBorder="1"/>
    <xf numFmtId="0" fontId="2" fillId="19" borderId="6" xfId="0" applyFont="1" applyFill="1" applyBorder="1"/>
    <xf numFmtId="0" fontId="16" fillId="0" borderId="14" xfId="0" applyFont="1" applyBorder="1"/>
    <xf numFmtId="0" fontId="10" fillId="6" borderId="6" xfId="1" applyFont="1" applyFill="1" applyBorder="1" applyAlignment="1">
      <alignment horizontal="center"/>
    </xf>
    <xf numFmtId="0" fontId="10" fillId="5" borderId="6" xfId="0" applyFont="1" applyFill="1" applyBorder="1" applyAlignment="1">
      <alignment horizontal="center"/>
    </xf>
    <xf numFmtId="0" fontId="16" fillId="20" borderId="14" xfId="0" applyFont="1" applyFill="1" applyBorder="1" applyAlignment="1">
      <alignment horizontal="center" vertical="center"/>
    </xf>
    <xf numFmtId="0" fontId="16" fillId="20" borderId="15" xfId="0" applyFont="1" applyFill="1" applyBorder="1" applyAlignment="1">
      <alignment horizontal="center" vertical="center"/>
    </xf>
    <xf numFmtId="0" fontId="16" fillId="20" borderId="16" xfId="0" applyFont="1" applyFill="1" applyBorder="1" applyAlignment="1">
      <alignment horizontal="center" vertical="center"/>
    </xf>
    <xf numFmtId="0" fontId="6" fillId="0" borderId="6" xfId="0" applyFont="1" applyBorder="1" applyAlignment="1">
      <alignment horizontal="center" vertical="center" wrapText="1"/>
    </xf>
    <xf numFmtId="0" fontId="10" fillId="6" borderId="6" xfId="0" applyFont="1" applyFill="1" applyBorder="1" applyAlignment="1">
      <alignment horizontal="center"/>
    </xf>
    <xf numFmtId="0" fontId="5" fillId="18" borderId="7" xfId="0" applyFont="1" applyFill="1" applyBorder="1" applyAlignment="1">
      <alignment horizontal="center"/>
    </xf>
    <xf numFmtId="0" fontId="5" fillId="18" borderId="8" xfId="0" applyFont="1" applyFill="1" applyBorder="1" applyAlignment="1">
      <alignment horizontal="center"/>
    </xf>
    <xf numFmtId="0" fontId="5" fillId="18" borderId="9" xfId="0" applyFont="1" applyFill="1" applyBorder="1" applyAlignment="1">
      <alignment horizontal="center"/>
    </xf>
    <xf numFmtId="0" fontId="5" fillId="18" borderId="10" xfId="0" applyFont="1" applyFill="1" applyBorder="1" applyAlignment="1">
      <alignment horizontal="center"/>
    </xf>
    <xf numFmtId="0" fontId="5" fillId="18" borderId="11" xfId="0" applyFont="1" applyFill="1" applyBorder="1" applyAlignment="1">
      <alignment horizontal="center"/>
    </xf>
    <xf numFmtId="0" fontId="5" fillId="18" borderId="12" xfId="0" applyFont="1" applyFill="1" applyBorder="1" applyAlignment="1">
      <alignment horizontal="center"/>
    </xf>
    <xf numFmtId="0" fontId="14" fillId="12" borderId="6" xfId="0" applyFont="1" applyFill="1" applyBorder="1" applyAlignment="1">
      <alignment horizontal="center"/>
    </xf>
    <xf numFmtId="0" fontId="10" fillId="13" borderId="6" xfId="0" applyFont="1" applyFill="1" applyBorder="1" applyAlignment="1">
      <alignment horizontal="center"/>
    </xf>
    <xf numFmtId="0" fontId="8" fillId="0" borderId="14" xfId="1" applyFont="1" applyBorder="1" applyAlignment="1">
      <alignment horizontal="center" vertical="top" wrapText="1"/>
    </xf>
    <xf numFmtId="0" fontId="8" fillId="0" borderId="16" xfId="1" applyFont="1" applyBorder="1" applyAlignment="1">
      <alignment horizontal="center" vertical="top" wrapText="1"/>
    </xf>
    <xf numFmtId="0" fontId="7" fillId="4" borderId="14" xfId="1" applyFont="1" applyFill="1" applyBorder="1" applyAlignment="1">
      <alignment horizontal="center" vertical="center"/>
    </xf>
    <xf numFmtId="0" fontId="7" fillId="4" borderId="16" xfId="1" applyFont="1" applyFill="1" applyBorder="1" applyAlignment="1">
      <alignment horizontal="center" vertical="center"/>
    </xf>
    <xf numFmtId="0" fontId="7" fillId="4" borderId="14" xfId="1" applyFont="1" applyFill="1" applyBorder="1" applyAlignment="1">
      <alignment horizontal="center" wrapText="1"/>
    </xf>
    <xf numFmtId="0" fontId="7" fillId="4" borderId="16" xfId="1" applyFont="1" applyFill="1" applyBorder="1" applyAlignment="1">
      <alignment horizontal="center" wrapText="1"/>
    </xf>
    <xf numFmtId="0" fontId="7" fillId="5" borderId="14" xfId="1" applyFont="1" applyFill="1" applyBorder="1" applyAlignment="1">
      <alignment horizontal="center"/>
    </xf>
    <xf numFmtId="0" fontId="7" fillId="5" borderId="15" xfId="1" applyFont="1" applyFill="1" applyBorder="1" applyAlignment="1">
      <alignment horizontal="center"/>
    </xf>
    <xf numFmtId="0" fontId="7" fillId="5" borderId="16" xfId="1" applyFont="1" applyFill="1" applyBorder="1" applyAlignment="1">
      <alignment horizontal="center"/>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6" xfId="1" applyFont="1" applyBorder="1" applyAlignment="1">
      <alignment horizontal="left" vertical="center" wrapText="1"/>
    </xf>
    <xf numFmtId="0" fontId="7" fillId="3" borderId="14" xfId="1" applyFont="1" applyFill="1" applyBorder="1" applyAlignment="1">
      <alignment horizontal="center"/>
    </xf>
    <xf numFmtId="0" fontId="7" fillId="3" borderId="15" xfId="1" applyFont="1" applyFill="1" applyBorder="1" applyAlignment="1">
      <alignment horizontal="center"/>
    </xf>
    <xf numFmtId="0" fontId="7" fillId="3" borderId="16" xfId="1" applyFont="1" applyFill="1" applyBorder="1" applyAlignment="1">
      <alignment horizontal="center"/>
    </xf>
    <xf numFmtId="0" fontId="6" fillId="21" borderId="8" xfId="1" applyFill="1" applyBorder="1" applyAlignment="1">
      <alignment horizontal="center"/>
    </xf>
    <xf numFmtId="0" fontId="6" fillId="21" borderId="0" xfId="1" applyFill="1"/>
    <xf numFmtId="0" fontId="6" fillId="21" borderId="0" xfId="1" applyFill="1" applyAlignment="1">
      <alignment horizontal="center"/>
    </xf>
    <xf numFmtId="0" fontId="6" fillId="21" borderId="17" xfId="1" applyFill="1" applyBorder="1" applyAlignment="1">
      <alignment horizontal="center"/>
    </xf>
    <xf numFmtId="0" fontId="6" fillId="21" borderId="18" xfId="1" applyFill="1" applyBorder="1" applyAlignment="1">
      <alignment horizontal="center"/>
    </xf>
  </cellXfs>
  <cellStyles count="2">
    <cellStyle name="Normal" xfId="0" builtinId="0"/>
    <cellStyle name="Normal 2" xfId="1" xr:uid="{56027614-3868-4A16-9D68-50ACAAFEAE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Sensitivity Report 1'!A1"/><Relationship Id="rId2" Type="http://schemas.openxmlformats.org/officeDocument/2006/relationships/hyperlink" Target="#'Transportation Model'!A1"/><Relationship Id="rId1" Type="http://schemas.openxmlformats.org/officeDocument/2006/relationships/hyperlink" Target="#'LPP Solver Model'!A1"/><Relationship Id="rId6" Type="http://schemas.openxmlformats.org/officeDocument/2006/relationships/hyperlink" Target="#'Answer Report 2'!A1"/><Relationship Id="rId5" Type="http://schemas.openxmlformats.org/officeDocument/2006/relationships/hyperlink" Target="#'Sensitivity Report 2'!A1"/><Relationship Id="rId4" Type="http://schemas.openxmlformats.org/officeDocument/2006/relationships/hyperlink" Target="#'Answer Report 1'!A1"/></Relationships>
</file>

<file path=xl/drawings/drawing1.xml><?xml version="1.0" encoding="utf-8"?>
<xdr:wsDr xmlns:xdr="http://schemas.openxmlformats.org/drawingml/2006/spreadsheetDrawing" xmlns:a="http://schemas.openxmlformats.org/drawingml/2006/main">
  <xdr:twoCellAnchor>
    <xdr:from>
      <xdr:col>2</xdr:col>
      <xdr:colOff>60960</xdr:colOff>
      <xdr:row>8</xdr:row>
      <xdr:rowOff>868680</xdr:rowOff>
    </xdr:from>
    <xdr:to>
      <xdr:col>2</xdr:col>
      <xdr:colOff>1394460</xdr:colOff>
      <xdr:row>8</xdr:row>
      <xdr:rowOff>1203960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45E36A8-58A4-29BC-7152-C7444B804B18}"/>
            </a:ext>
          </a:extLst>
        </xdr:cNvPr>
        <xdr:cNvSpPr/>
      </xdr:nvSpPr>
      <xdr:spPr>
        <a:xfrm>
          <a:off x="3756660" y="3390900"/>
          <a:ext cx="1333500" cy="335280"/>
        </a:xfrm>
        <a:prstGeom prst="roundRect">
          <a:avLst/>
        </a:prstGeom>
        <a:solidFill>
          <a:schemeClr val="accent6">
            <a:lumMod val="40000"/>
            <a:lumOff val="60000"/>
          </a:schemeClr>
        </a:solidFill>
        <a:ln>
          <a:solidFill>
            <a:sysClr val="windowText" lastClr="000000"/>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a:t>Go to LPP Model</a:t>
          </a:r>
        </a:p>
      </xdr:txBody>
    </xdr:sp>
    <xdr:clientData/>
  </xdr:twoCellAnchor>
  <xdr:twoCellAnchor>
    <xdr:from>
      <xdr:col>4</xdr:col>
      <xdr:colOff>60960</xdr:colOff>
      <xdr:row>8</xdr:row>
      <xdr:rowOff>853440</xdr:rowOff>
    </xdr:from>
    <xdr:to>
      <xdr:col>4</xdr:col>
      <xdr:colOff>2026920</xdr:colOff>
      <xdr:row>8</xdr:row>
      <xdr:rowOff>1203960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5F8E3D2-B8B8-D5D8-3733-D89BCEFA9D17}"/>
            </a:ext>
          </a:extLst>
        </xdr:cNvPr>
        <xdr:cNvSpPr/>
      </xdr:nvSpPr>
      <xdr:spPr>
        <a:xfrm>
          <a:off x="7825740" y="3375660"/>
          <a:ext cx="1965960" cy="350520"/>
        </a:xfrm>
        <a:prstGeom prst="roundRect">
          <a:avLst/>
        </a:prstGeom>
        <a:solidFill>
          <a:schemeClr val="accent6">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Go</a:t>
          </a:r>
          <a:r>
            <a:rPr lang="en-IN" sz="1100" baseline="0">
              <a:solidFill>
                <a:sysClr val="windowText" lastClr="000000"/>
              </a:solidFill>
            </a:rPr>
            <a:t> to Transportation Model</a:t>
          </a:r>
          <a:endParaRPr lang="en-IN" sz="1100">
            <a:solidFill>
              <a:sysClr val="windowText" lastClr="000000"/>
            </a:solidFill>
          </a:endParaRPr>
        </a:p>
      </xdr:txBody>
    </xdr:sp>
    <xdr:clientData/>
  </xdr:twoCellAnchor>
  <xdr:twoCellAnchor>
    <xdr:from>
      <xdr:col>3</xdr:col>
      <xdr:colOff>716280</xdr:colOff>
      <xdr:row>8</xdr:row>
      <xdr:rowOff>784860</xdr:rowOff>
    </xdr:from>
    <xdr:to>
      <xdr:col>3</xdr:col>
      <xdr:colOff>1623060</xdr:colOff>
      <xdr:row>8</xdr:row>
      <xdr:rowOff>1257300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44B59F25-564F-E71E-B911-96A63F964CC7}"/>
            </a:ext>
          </a:extLst>
        </xdr:cNvPr>
        <xdr:cNvSpPr/>
      </xdr:nvSpPr>
      <xdr:spPr>
        <a:xfrm>
          <a:off x="6446520" y="3307080"/>
          <a:ext cx="906780" cy="472440"/>
        </a:xfrm>
        <a:prstGeom prst="roundRect">
          <a:avLst/>
        </a:prstGeom>
        <a:solidFill>
          <a:schemeClr val="accent6">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Sensitivity</a:t>
          </a:r>
          <a:r>
            <a:rPr lang="en-IN" sz="1100" baseline="0">
              <a:solidFill>
                <a:sysClr val="windowText" lastClr="000000"/>
              </a:solidFill>
            </a:rPr>
            <a:t> report</a:t>
          </a:r>
          <a:endParaRPr lang="en-IN" sz="1100">
            <a:solidFill>
              <a:sysClr val="windowText" lastClr="000000"/>
            </a:solidFill>
          </a:endParaRPr>
        </a:p>
      </xdr:txBody>
    </xdr:sp>
    <xdr:clientData/>
  </xdr:twoCellAnchor>
  <xdr:twoCellAnchor>
    <xdr:from>
      <xdr:col>2</xdr:col>
      <xdr:colOff>1706880</xdr:colOff>
      <xdr:row>8</xdr:row>
      <xdr:rowOff>777240</xdr:rowOff>
    </xdr:from>
    <xdr:to>
      <xdr:col>3</xdr:col>
      <xdr:colOff>396240</xdr:colOff>
      <xdr:row>8</xdr:row>
      <xdr:rowOff>1257300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86D7AB9A-4600-71E3-A943-1029802E5A0B}"/>
            </a:ext>
          </a:extLst>
        </xdr:cNvPr>
        <xdr:cNvSpPr/>
      </xdr:nvSpPr>
      <xdr:spPr>
        <a:xfrm>
          <a:off x="5402580" y="3299460"/>
          <a:ext cx="723900" cy="480060"/>
        </a:xfrm>
        <a:prstGeom prst="roundRect">
          <a:avLst/>
        </a:prstGeom>
        <a:solidFill>
          <a:schemeClr val="accent6">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Answer</a:t>
          </a:r>
          <a:r>
            <a:rPr lang="en-IN" sz="1100" baseline="0">
              <a:solidFill>
                <a:sysClr val="windowText" lastClr="000000"/>
              </a:solidFill>
            </a:rPr>
            <a:t> report</a:t>
          </a:r>
          <a:endParaRPr lang="en-IN" sz="1100">
            <a:solidFill>
              <a:sysClr val="windowText" lastClr="000000"/>
            </a:solidFill>
          </a:endParaRPr>
        </a:p>
      </xdr:txBody>
    </xdr:sp>
    <xdr:clientData/>
  </xdr:twoCellAnchor>
  <xdr:twoCellAnchor>
    <xdr:from>
      <xdr:col>5</xdr:col>
      <xdr:colOff>1043940</xdr:colOff>
      <xdr:row>8</xdr:row>
      <xdr:rowOff>754380</xdr:rowOff>
    </xdr:from>
    <xdr:to>
      <xdr:col>5</xdr:col>
      <xdr:colOff>1935480</xdr:colOff>
      <xdr:row>8</xdr:row>
      <xdr:rowOff>1242060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5AAED07E-C7F6-4680-64DB-F9B95DBC9342}"/>
            </a:ext>
          </a:extLst>
        </xdr:cNvPr>
        <xdr:cNvSpPr/>
      </xdr:nvSpPr>
      <xdr:spPr>
        <a:xfrm>
          <a:off x="10843260" y="3276600"/>
          <a:ext cx="891540" cy="487680"/>
        </a:xfrm>
        <a:prstGeom prst="roundRect">
          <a:avLst/>
        </a:prstGeom>
        <a:solidFill>
          <a:schemeClr val="accent6">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Sensitivity</a:t>
          </a:r>
          <a:r>
            <a:rPr lang="en-IN" sz="1100" baseline="0">
              <a:solidFill>
                <a:sysClr val="windowText" lastClr="000000"/>
              </a:solidFill>
            </a:rPr>
            <a:t> report</a:t>
          </a:r>
          <a:endParaRPr lang="en-IN" sz="1100">
            <a:solidFill>
              <a:sysClr val="windowText" lastClr="000000"/>
            </a:solidFill>
          </a:endParaRPr>
        </a:p>
      </xdr:txBody>
    </xdr:sp>
    <xdr:clientData/>
  </xdr:twoCellAnchor>
  <xdr:twoCellAnchor>
    <xdr:from>
      <xdr:col>5</xdr:col>
      <xdr:colOff>190500</xdr:colOff>
      <xdr:row>8</xdr:row>
      <xdr:rowOff>769620</xdr:rowOff>
    </xdr:from>
    <xdr:to>
      <xdr:col>5</xdr:col>
      <xdr:colOff>891540</xdr:colOff>
      <xdr:row>8</xdr:row>
      <xdr:rowOff>1242060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8DC0FB07-B54C-5B8B-5F19-9D2BE7FEA640}"/>
            </a:ext>
          </a:extLst>
        </xdr:cNvPr>
        <xdr:cNvSpPr/>
      </xdr:nvSpPr>
      <xdr:spPr>
        <a:xfrm>
          <a:off x="9989820" y="3291840"/>
          <a:ext cx="701040" cy="472440"/>
        </a:xfrm>
        <a:prstGeom prst="roundRect">
          <a:avLst/>
        </a:prstGeom>
        <a:solidFill>
          <a:schemeClr val="accent6">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Answer report</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95549-A9B6-4B38-A14C-7E8317848C62}">
  <sheetPr>
    <outlinePr summaryBelow="0" summaryRight="0"/>
  </sheetPr>
  <dimension ref="A1:G16"/>
  <sheetViews>
    <sheetView tabSelected="1" workbookViewId="0">
      <selection activeCell="B1" sqref="B1"/>
    </sheetView>
  </sheetViews>
  <sheetFormatPr defaultColWidth="12.6640625" defaultRowHeight="15.75" customHeight="1" x14ac:dyDescent="0.25"/>
  <cols>
    <col min="1" max="1" width="38.109375" style="9" customWidth="1"/>
    <col min="2" max="2" width="15.77734375" style="9" bestFit="1" customWidth="1"/>
    <col min="3" max="5" width="29.6640625" style="9" customWidth="1"/>
    <col min="6" max="6" width="30.33203125" style="9" bestFit="1" customWidth="1"/>
    <col min="7" max="7" width="15.109375" style="9" customWidth="1"/>
    <col min="8" max="16384" width="12.6640625" style="9"/>
  </cols>
  <sheetData>
    <row r="1" spans="1:7" ht="15.75" customHeight="1" x14ac:dyDescent="0.25">
      <c r="B1" s="82"/>
      <c r="C1" s="82"/>
      <c r="D1" s="82"/>
      <c r="E1" s="82"/>
      <c r="F1" s="82"/>
      <c r="G1" s="82"/>
    </row>
    <row r="2" spans="1:7" ht="15.75" customHeight="1" x14ac:dyDescent="0.25">
      <c r="B2" s="51" t="s">
        <v>65</v>
      </c>
      <c r="C2" s="51"/>
      <c r="D2" s="51"/>
      <c r="E2" s="51"/>
      <c r="F2" s="51"/>
      <c r="G2" s="51"/>
    </row>
    <row r="3" spans="1:7" ht="15.75" customHeight="1" x14ac:dyDescent="0.25">
      <c r="B3" s="51"/>
      <c r="C3" s="51"/>
      <c r="D3" s="51"/>
      <c r="E3" s="51"/>
      <c r="F3" s="51"/>
      <c r="G3" s="51"/>
    </row>
    <row r="4" spans="1:7" ht="13.2" x14ac:dyDescent="0.25">
      <c r="B4" s="81"/>
      <c r="C4" s="81"/>
      <c r="D4" s="81"/>
      <c r="E4" s="81"/>
      <c r="F4" s="81"/>
      <c r="G4" s="81"/>
    </row>
    <row r="5" spans="1:7" ht="21" x14ac:dyDescent="0.4">
      <c r="A5" s="11"/>
      <c r="B5" s="82"/>
      <c r="C5" s="72" t="s">
        <v>64</v>
      </c>
      <c r="D5" s="73"/>
      <c r="E5" s="73"/>
      <c r="F5" s="74"/>
      <c r="G5" s="82"/>
    </row>
    <row r="6" spans="1:7" ht="81" customHeight="1" x14ac:dyDescent="0.25">
      <c r="B6" s="82"/>
      <c r="C6" s="75" t="s">
        <v>63</v>
      </c>
      <c r="D6" s="76"/>
      <c r="E6" s="76"/>
      <c r="F6" s="77"/>
      <c r="G6" s="82"/>
    </row>
    <row r="7" spans="1:7" ht="15.75" customHeight="1" x14ac:dyDescent="0.25">
      <c r="B7" s="83"/>
      <c r="C7" s="83"/>
      <c r="D7" s="83"/>
      <c r="E7" s="83"/>
      <c r="F7" s="83"/>
      <c r="G7" s="83"/>
    </row>
    <row r="8" spans="1:7" ht="21" customHeight="1" x14ac:dyDescent="0.4">
      <c r="B8" s="82"/>
      <c r="C8" s="70" t="s">
        <v>62</v>
      </c>
      <c r="D8" s="71"/>
      <c r="E8" s="68" t="s">
        <v>61</v>
      </c>
      <c r="F8" s="69"/>
      <c r="G8" s="82"/>
    </row>
    <row r="9" spans="1:7" ht="105" customHeight="1" x14ac:dyDescent="0.25">
      <c r="B9" s="82"/>
      <c r="C9" s="66" t="s">
        <v>223</v>
      </c>
      <c r="D9" s="67"/>
      <c r="E9" s="66" t="s">
        <v>60</v>
      </c>
      <c r="F9" s="67"/>
      <c r="G9" s="82"/>
    </row>
    <row r="10" spans="1:7" ht="13.2" x14ac:dyDescent="0.25">
      <c r="A10" s="11"/>
      <c r="B10" s="83"/>
      <c r="C10" s="83"/>
      <c r="D10" s="83"/>
      <c r="E10" s="83"/>
      <c r="F10" s="83"/>
      <c r="G10" s="83"/>
    </row>
    <row r="11" spans="1:7" ht="13.2" x14ac:dyDescent="0.25">
      <c r="A11" s="11"/>
      <c r="B11" s="83"/>
      <c r="C11" s="83"/>
      <c r="D11" s="83"/>
      <c r="E11" s="83"/>
      <c r="F11" s="83"/>
      <c r="G11" s="83"/>
    </row>
    <row r="12" spans="1:7" ht="15.75" customHeight="1" x14ac:dyDescent="0.25">
      <c r="B12" s="83"/>
      <c r="C12" s="83"/>
      <c r="D12" s="83"/>
      <c r="E12" s="83"/>
      <c r="F12" s="83"/>
      <c r="G12" s="83"/>
    </row>
    <row r="13" spans="1:7" ht="21" x14ac:dyDescent="0.4">
      <c r="B13" s="84"/>
      <c r="C13" s="78" t="s">
        <v>59</v>
      </c>
      <c r="D13" s="79"/>
      <c r="E13" s="79"/>
      <c r="F13" s="80"/>
      <c r="G13" s="85"/>
    </row>
    <row r="14" spans="1:7" ht="15.6" x14ac:dyDescent="0.3">
      <c r="B14" s="84"/>
      <c r="C14" s="10" t="s">
        <v>58</v>
      </c>
      <c r="D14" s="39">
        <f>'LPP Solver Model'!F31</f>
        <v>2290</v>
      </c>
      <c r="E14" s="10" t="s">
        <v>57</v>
      </c>
      <c r="F14" s="40">
        <f>'Transportation Model'!B58</f>
        <v>220650</v>
      </c>
      <c r="G14" s="85"/>
    </row>
    <row r="15" spans="1:7" ht="15.6" x14ac:dyDescent="0.3">
      <c r="B15" s="84"/>
      <c r="C15" s="10" t="s">
        <v>56</v>
      </c>
      <c r="D15" s="38" t="s">
        <v>55</v>
      </c>
      <c r="E15" s="10" t="s">
        <v>54</v>
      </c>
      <c r="F15" s="38" t="s">
        <v>215</v>
      </c>
      <c r="G15" s="85"/>
    </row>
    <row r="16" spans="1:7" ht="15.75" customHeight="1" x14ac:dyDescent="0.25">
      <c r="B16" s="82"/>
      <c r="C16" s="82"/>
      <c r="D16" s="82"/>
      <c r="E16" s="82"/>
      <c r="F16" s="82"/>
      <c r="G16" s="82"/>
    </row>
  </sheetData>
  <mergeCells count="13">
    <mergeCell ref="C13:F13"/>
    <mergeCell ref="B2:G3"/>
    <mergeCell ref="C6:F6"/>
    <mergeCell ref="C5:F5"/>
    <mergeCell ref="C9:D9"/>
    <mergeCell ref="C8:D8"/>
    <mergeCell ref="E8:F8"/>
    <mergeCell ref="E9:F9"/>
    <mergeCell ref="B4:G4"/>
    <mergeCell ref="B7:G7"/>
    <mergeCell ref="B10:G12"/>
    <mergeCell ref="B13:B15"/>
    <mergeCell ref="G13:G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5"/>
  <sheetViews>
    <sheetView topLeftCell="A23" workbookViewId="0">
      <selection sqref="A1:H2"/>
    </sheetView>
  </sheetViews>
  <sheetFormatPr defaultColWidth="12.6640625" defaultRowHeight="15.75" customHeight="1" x14ac:dyDescent="0.25"/>
  <cols>
    <col min="1" max="1" width="37.109375" bestFit="1" customWidth="1"/>
    <col min="2" max="2" width="21.88671875" bestFit="1" customWidth="1"/>
    <col min="3" max="3" width="13.33203125" customWidth="1"/>
    <col min="4" max="4" width="8.33203125" bestFit="1" customWidth="1"/>
    <col min="5" max="5" width="30.21875" bestFit="1" customWidth="1"/>
    <col min="6" max="6" width="12.44140625" bestFit="1" customWidth="1"/>
    <col min="7" max="7" width="17.33203125" bestFit="1" customWidth="1"/>
    <col min="8" max="8" width="13.77734375" bestFit="1" customWidth="1"/>
    <col min="9" max="9" width="17.5546875" bestFit="1" customWidth="1"/>
  </cols>
  <sheetData>
    <row r="1" spans="1:9" ht="15.75" customHeight="1" x14ac:dyDescent="0.25">
      <c r="A1" s="52" t="s">
        <v>219</v>
      </c>
      <c r="B1" s="52"/>
      <c r="C1" s="52"/>
      <c r="D1" s="52"/>
      <c r="E1" s="52"/>
      <c r="F1" s="52"/>
      <c r="G1" s="52"/>
      <c r="H1" s="52"/>
    </row>
    <row r="2" spans="1:9" ht="15.6" customHeight="1" x14ac:dyDescent="0.25">
      <c r="A2" s="52"/>
      <c r="B2" s="52"/>
      <c r="C2" s="52"/>
      <c r="D2" s="52"/>
      <c r="E2" s="52"/>
      <c r="F2" s="52"/>
      <c r="G2" s="52"/>
      <c r="H2" s="52"/>
    </row>
    <row r="3" spans="1:9" ht="16.8" customHeight="1" x14ac:dyDescent="0.25"/>
    <row r="4" spans="1:9" ht="15.75" customHeight="1" x14ac:dyDescent="0.3">
      <c r="A4" s="53" t="s">
        <v>220</v>
      </c>
      <c r="B4" s="54"/>
      <c r="C4" s="55"/>
      <c r="D4" s="50">
        <v>490000</v>
      </c>
      <c r="E4" s="56" t="s">
        <v>222</v>
      </c>
      <c r="F4" s="56"/>
      <c r="G4" s="56"/>
      <c r="H4" s="56"/>
      <c r="I4" s="56"/>
    </row>
    <row r="5" spans="1:9" ht="15.75" customHeight="1" x14ac:dyDescent="0.3">
      <c r="A5" s="53" t="s">
        <v>221</v>
      </c>
      <c r="B5" s="54"/>
      <c r="C5" s="55"/>
      <c r="D5" s="50">
        <v>15</v>
      </c>
      <c r="E5" s="56"/>
      <c r="F5" s="56"/>
      <c r="G5" s="56"/>
      <c r="H5" s="56"/>
      <c r="I5" s="56"/>
    </row>
    <row r="6" spans="1:9" ht="15.75" customHeight="1" x14ac:dyDescent="0.25">
      <c r="E6" s="56"/>
      <c r="F6" s="56"/>
      <c r="G6" s="56"/>
      <c r="H6" s="56"/>
      <c r="I6" s="56"/>
    </row>
    <row r="7" spans="1:9" ht="71.400000000000006" customHeight="1" x14ac:dyDescent="0.25">
      <c r="E7" s="56"/>
      <c r="F7" s="56"/>
      <c r="G7" s="56"/>
      <c r="H7" s="56"/>
      <c r="I7" s="56"/>
    </row>
    <row r="8" spans="1:9" ht="13.2" x14ac:dyDescent="0.25">
      <c r="A8" s="1"/>
    </row>
    <row r="9" spans="1:9" ht="13.2" x14ac:dyDescent="0.25">
      <c r="A9" s="57" t="s">
        <v>67</v>
      </c>
      <c r="B9" s="57"/>
      <c r="C9" s="57"/>
      <c r="D9" s="57"/>
      <c r="E9" s="57"/>
      <c r="F9" s="57"/>
      <c r="G9" s="57"/>
      <c r="H9" s="57"/>
    </row>
    <row r="10" spans="1:9" ht="13.2" x14ac:dyDescent="0.25">
      <c r="A10" s="57"/>
      <c r="B10" s="57"/>
      <c r="C10" s="57"/>
      <c r="D10" s="57"/>
      <c r="E10" s="57"/>
      <c r="F10" s="57"/>
      <c r="G10" s="57"/>
      <c r="H10" s="57"/>
    </row>
    <row r="11" spans="1:9" ht="13.2" x14ac:dyDescent="0.25"/>
    <row r="12" spans="1:9" ht="15.6" x14ac:dyDescent="0.3">
      <c r="A12" s="15" t="s">
        <v>68</v>
      </c>
      <c r="B12" s="43" t="s">
        <v>69</v>
      </c>
      <c r="C12" s="43" t="s">
        <v>70</v>
      </c>
    </row>
    <row r="13" spans="1:9" ht="13.2" x14ac:dyDescent="0.25">
      <c r="A13" s="43" t="s">
        <v>71</v>
      </c>
      <c r="B13" s="41">
        <v>150</v>
      </c>
      <c r="C13" s="41">
        <v>100</v>
      </c>
    </row>
    <row r="14" spans="1:9" ht="13.2" x14ac:dyDescent="0.25">
      <c r="A14" s="43" t="s">
        <v>72</v>
      </c>
      <c r="B14" s="41">
        <v>1</v>
      </c>
      <c r="C14" s="41">
        <v>1.7</v>
      </c>
    </row>
    <row r="15" spans="1:9" ht="13.2" x14ac:dyDescent="0.25">
      <c r="A15" s="43" t="s">
        <v>73</v>
      </c>
      <c r="B15" s="41">
        <f>B13*B14</f>
        <v>150</v>
      </c>
      <c r="C15" s="41">
        <f>C13*C14</f>
        <v>170</v>
      </c>
    </row>
    <row r="16" spans="1:9" ht="13.2" x14ac:dyDescent="0.25"/>
    <row r="17" spans="1:10" ht="13.2" x14ac:dyDescent="0.25"/>
    <row r="18" spans="1:10" ht="15.6" x14ac:dyDescent="0.3">
      <c r="A18" s="15" t="s">
        <v>74</v>
      </c>
      <c r="B18" s="43" t="s">
        <v>69</v>
      </c>
      <c r="C18" s="43" t="s">
        <v>70</v>
      </c>
      <c r="E18" s="15" t="s">
        <v>79</v>
      </c>
      <c r="F18" s="43" t="s">
        <v>80</v>
      </c>
    </row>
    <row r="19" spans="1:10" ht="13.2" x14ac:dyDescent="0.25">
      <c r="A19" s="43" t="s">
        <v>75</v>
      </c>
      <c r="B19" s="42">
        <v>30000</v>
      </c>
      <c r="C19" s="42">
        <v>50000</v>
      </c>
      <c r="E19" s="43" t="s">
        <v>81</v>
      </c>
      <c r="F19" s="42">
        <v>490000</v>
      </c>
    </row>
    <row r="20" spans="1:10" ht="15.75" customHeight="1" x14ac:dyDescent="0.25">
      <c r="A20" s="43" t="s">
        <v>11</v>
      </c>
      <c r="B20" s="41">
        <v>8</v>
      </c>
      <c r="C20" s="41">
        <v>12</v>
      </c>
      <c r="E20" s="43" t="s">
        <v>82</v>
      </c>
      <c r="F20" s="41">
        <v>130</v>
      </c>
    </row>
    <row r="21" spans="1:10" ht="15.75" customHeight="1" x14ac:dyDescent="0.25">
      <c r="A21" s="43" t="s">
        <v>76</v>
      </c>
      <c r="B21" s="41">
        <v>20</v>
      </c>
      <c r="C21" s="41">
        <v>25</v>
      </c>
      <c r="E21" s="43" t="s">
        <v>83</v>
      </c>
      <c r="F21" s="41">
        <v>320</v>
      </c>
    </row>
    <row r="22" spans="1:10" ht="15.75" customHeight="1" x14ac:dyDescent="0.25">
      <c r="A22" s="43" t="s">
        <v>77</v>
      </c>
      <c r="B22" s="41">
        <v>0</v>
      </c>
      <c r="C22" s="41">
        <v>100</v>
      </c>
      <c r="E22" s="43" t="s">
        <v>84</v>
      </c>
      <c r="F22" s="42">
        <v>250</v>
      </c>
    </row>
    <row r="23" spans="1:10" ht="15.75" customHeight="1" x14ac:dyDescent="0.25">
      <c r="A23" s="43" t="s">
        <v>78</v>
      </c>
      <c r="B23" s="41">
        <v>1</v>
      </c>
      <c r="C23" s="41">
        <v>1</v>
      </c>
      <c r="E23" s="43" t="s">
        <v>85</v>
      </c>
      <c r="F23" s="41">
        <v>15</v>
      </c>
    </row>
    <row r="26" spans="1:10" ht="15.75" customHeight="1" x14ac:dyDescent="0.25">
      <c r="A26" s="58" t="s">
        <v>86</v>
      </c>
      <c r="B26" s="59"/>
      <c r="C26" s="59"/>
      <c r="D26" s="59"/>
      <c r="E26" s="59"/>
      <c r="F26" s="59"/>
      <c r="G26" s="59"/>
      <c r="H26" s="60"/>
    </row>
    <row r="27" spans="1:10" ht="15.75" customHeight="1" x14ac:dyDescent="0.25">
      <c r="A27" s="61"/>
      <c r="B27" s="62"/>
      <c r="C27" s="62"/>
      <c r="D27" s="62"/>
      <c r="E27" s="62"/>
      <c r="F27" s="62"/>
      <c r="G27" s="62"/>
      <c r="H27" s="63"/>
    </row>
    <row r="29" spans="1:10" ht="15.75" customHeight="1" x14ac:dyDescent="0.3">
      <c r="A29" s="21" t="s">
        <v>0</v>
      </c>
      <c r="B29" s="32" t="s">
        <v>1</v>
      </c>
      <c r="C29" s="32" t="s">
        <v>2</v>
      </c>
      <c r="I29" s="48" t="s">
        <v>216</v>
      </c>
      <c r="J29" s="45"/>
    </row>
    <row r="30" spans="1:10" ht="15.75" customHeight="1" x14ac:dyDescent="0.25">
      <c r="A30" s="32" t="s">
        <v>3</v>
      </c>
      <c r="B30" s="44">
        <v>12.999999999999998</v>
      </c>
      <c r="C30" s="44">
        <v>2.0000000000000018</v>
      </c>
      <c r="I30" s="48" t="s">
        <v>217</v>
      </c>
      <c r="J30" s="46"/>
    </row>
    <row r="31" spans="1:10" ht="15.75" customHeight="1" x14ac:dyDescent="0.3">
      <c r="A31" s="32" t="s">
        <v>4</v>
      </c>
      <c r="B31" s="16">
        <v>150</v>
      </c>
      <c r="C31" s="16">
        <v>170</v>
      </c>
      <c r="E31" s="22" t="s">
        <v>66</v>
      </c>
      <c r="F31" s="17">
        <f>SUMPRODUCT(B30:C30,B31:C31)</f>
        <v>2290</v>
      </c>
      <c r="I31" s="48" t="s">
        <v>218</v>
      </c>
      <c r="J31" s="47"/>
    </row>
    <row r="33" spans="1:8" ht="15.75" customHeight="1" x14ac:dyDescent="0.3">
      <c r="A33" s="21" t="s">
        <v>5</v>
      </c>
      <c r="B33" s="32" t="s">
        <v>1</v>
      </c>
      <c r="C33" s="32" t="s">
        <v>2</v>
      </c>
      <c r="E33" s="19" t="s">
        <v>94</v>
      </c>
      <c r="F33" s="19"/>
      <c r="G33" s="19" t="s">
        <v>95</v>
      </c>
    </row>
    <row r="34" spans="1:8" ht="15.75" customHeight="1" x14ac:dyDescent="0.25">
      <c r="A34" s="32" t="s">
        <v>9</v>
      </c>
      <c r="B34" s="16">
        <v>30000</v>
      </c>
      <c r="C34" s="16">
        <v>50000</v>
      </c>
      <c r="E34" s="35">
        <f>SUMPRODUCT($B$30:$C$30,B34:C34)</f>
        <v>490000</v>
      </c>
      <c r="F34" s="20" t="s">
        <v>10</v>
      </c>
      <c r="G34" s="42">
        <f>D4</f>
        <v>490000</v>
      </c>
    </row>
    <row r="35" spans="1:8" ht="15.75" customHeight="1" x14ac:dyDescent="0.25">
      <c r="A35" s="32" t="s">
        <v>11</v>
      </c>
      <c r="B35" s="16">
        <v>8</v>
      </c>
      <c r="C35" s="16">
        <v>12</v>
      </c>
      <c r="E35" s="35">
        <f>SUMPRODUCT($B$30:$C$30,B35:C35)</f>
        <v>128</v>
      </c>
      <c r="F35" s="20" t="s">
        <v>10</v>
      </c>
      <c r="G35" s="42">
        <v>130</v>
      </c>
    </row>
    <row r="36" spans="1:8" ht="15.75" customHeight="1" x14ac:dyDescent="0.25">
      <c r="A36" s="32" t="s">
        <v>12</v>
      </c>
      <c r="B36" s="16">
        <v>20</v>
      </c>
      <c r="C36" s="16">
        <v>25</v>
      </c>
      <c r="E36" s="35">
        <f>SUMPRODUCT($B$30:$C$30,B36:C36)</f>
        <v>310</v>
      </c>
      <c r="F36" s="20" t="s">
        <v>10</v>
      </c>
      <c r="G36" s="42">
        <v>320</v>
      </c>
    </row>
    <row r="37" spans="1:8" ht="15.75" customHeight="1" x14ac:dyDescent="0.25">
      <c r="A37" s="32" t="s">
        <v>13</v>
      </c>
      <c r="B37" s="16">
        <v>0</v>
      </c>
      <c r="C37" s="16">
        <v>100</v>
      </c>
      <c r="E37" s="35">
        <f>SUMPRODUCT($B$30:$C$30,B37:C37)</f>
        <v>200.00000000000017</v>
      </c>
      <c r="F37" s="20" t="s">
        <v>10</v>
      </c>
      <c r="G37" s="42">
        <v>250</v>
      </c>
    </row>
    <row r="38" spans="1:8" ht="15.75" customHeight="1" x14ac:dyDescent="0.25">
      <c r="A38" s="32" t="s">
        <v>14</v>
      </c>
      <c r="B38" s="16">
        <v>1</v>
      </c>
      <c r="C38" s="16">
        <v>1</v>
      </c>
      <c r="E38" s="35">
        <f>SUMPRODUCT($B$30:$C$30,B38:C38)</f>
        <v>15</v>
      </c>
      <c r="F38" s="20" t="s">
        <v>10</v>
      </c>
      <c r="G38" s="42">
        <f>D5</f>
        <v>15</v>
      </c>
    </row>
    <row r="39" spans="1:8" ht="15.75" customHeight="1" x14ac:dyDescent="0.25">
      <c r="F39" s="8"/>
    </row>
    <row r="41" spans="1:8" ht="15.75" customHeight="1" x14ac:dyDescent="0.25">
      <c r="A41" s="52" t="s">
        <v>87</v>
      </c>
      <c r="B41" s="52"/>
      <c r="C41" s="52"/>
      <c r="D41" s="52"/>
      <c r="E41" s="52"/>
      <c r="F41" s="52"/>
      <c r="G41" s="52"/>
      <c r="H41" s="52"/>
    </row>
    <row r="42" spans="1:8" ht="15.75" customHeight="1" x14ac:dyDescent="0.25">
      <c r="A42" s="52"/>
      <c r="B42" s="52"/>
      <c r="C42" s="52"/>
      <c r="D42" s="52"/>
      <c r="E42" s="52"/>
      <c r="F42" s="52"/>
      <c r="G42" s="52"/>
      <c r="H42" s="52"/>
    </row>
    <row r="44" spans="1:8" ht="15.75" customHeight="1" x14ac:dyDescent="0.3">
      <c r="A44" s="24" t="s">
        <v>88</v>
      </c>
    </row>
    <row r="45" spans="1:8" ht="15.75" customHeight="1" x14ac:dyDescent="0.25">
      <c r="A45" s="25" t="s">
        <v>89</v>
      </c>
      <c r="B45" s="13">
        <f>B30</f>
        <v>12.999999999999998</v>
      </c>
    </row>
    <row r="46" spans="1:8" ht="15.75" customHeight="1" x14ac:dyDescent="0.25">
      <c r="A46" s="25" t="s">
        <v>90</v>
      </c>
      <c r="B46" s="13">
        <f>C30</f>
        <v>2.0000000000000018</v>
      </c>
    </row>
    <row r="47" spans="1:8" ht="15.75" customHeight="1" x14ac:dyDescent="0.25">
      <c r="A47" s="25" t="s">
        <v>58</v>
      </c>
      <c r="B47" s="14">
        <f>F31</f>
        <v>2290</v>
      </c>
    </row>
    <row r="49" spans="1:5" ht="15.75" customHeight="1" x14ac:dyDescent="0.3">
      <c r="A49" s="24" t="s">
        <v>91</v>
      </c>
    </row>
    <row r="50" spans="1:5" ht="15.75" customHeight="1" x14ac:dyDescent="0.25">
      <c r="A50" s="25" t="s">
        <v>6</v>
      </c>
      <c r="B50" s="25" t="s">
        <v>7</v>
      </c>
      <c r="C50" s="25" t="s">
        <v>8</v>
      </c>
      <c r="D50" s="25" t="s">
        <v>33</v>
      </c>
      <c r="E50" s="25" t="s">
        <v>96</v>
      </c>
    </row>
    <row r="51" spans="1:5" ht="15.75" customHeight="1" x14ac:dyDescent="0.25">
      <c r="A51" s="25" t="s">
        <v>92</v>
      </c>
      <c r="B51" s="14">
        <f>E34</f>
        <v>490000</v>
      </c>
      <c r="C51" s="14">
        <f>D4</f>
        <v>490000</v>
      </c>
      <c r="D51" s="14">
        <f>C51-B51</f>
        <v>0</v>
      </c>
      <c r="E51" s="26">
        <f>B51/C51</f>
        <v>1</v>
      </c>
    </row>
    <row r="52" spans="1:5" ht="15.75" customHeight="1" x14ac:dyDescent="0.25">
      <c r="A52" s="25" t="s">
        <v>11</v>
      </c>
      <c r="B52" s="14">
        <f t="shared" ref="B52:B55" si="0">E35</f>
        <v>128</v>
      </c>
      <c r="C52" s="13">
        <v>130</v>
      </c>
      <c r="D52" s="14">
        <f t="shared" ref="D52:D55" si="1">C52-B52</f>
        <v>2</v>
      </c>
      <c r="E52" s="26">
        <f t="shared" ref="E52:E55" si="2">B52/C52</f>
        <v>0.98461538461538467</v>
      </c>
    </row>
    <row r="53" spans="1:5" ht="15.75" customHeight="1" x14ac:dyDescent="0.25">
      <c r="A53" s="25" t="s">
        <v>76</v>
      </c>
      <c r="B53" s="14">
        <f t="shared" si="0"/>
        <v>310</v>
      </c>
      <c r="C53" s="13">
        <v>320</v>
      </c>
      <c r="D53" s="14">
        <f t="shared" si="1"/>
        <v>10</v>
      </c>
      <c r="E53" s="26">
        <f t="shared" si="2"/>
        <v>0.96875</v>
      </c>
    </row>
    <row r="54" spans="1:5" ht="15.75" customHeight="1" x14ac:dyDescent="0.25">
      <c r="A54" s="25" t="s">
        <v>13</v>
      </c>
      <c r="B54" s="14">
        <f t="shared" si="0"/>
        <v>200.00000000000017</v>
      </c>
      <c r="C54" s="14">
        <v>250</v>
      </c>
      <c r="D54" s="14">
        <f t="shared" si="1"/>
        <v>49.999999999999829</v>
      </c>
      <c r="E54" s="26">
        <f t="shared" si="2"/>
        <v>0.80000000000000071</v>
      </c>
    </row>
    <row r="55" spans="1:5" ht="15.75" customHeight="1" x14ac:dyDescent="0.25">
      <c r="A55" s="25" t="s">
        <v>93</v>
      </c>
      <c r="B55" s="14">
        <f t="shared" si="0"/>
        <v>15</v>
      </c>
      <c r="C55" s="13">
        <f>D5</f>
        <v>15</v>
      </c>
      <c r="D55" s="14">
        <f t="shared" si="1"/>
        <v>0</v>
      </c>
      <c r="E55" s="26">
        <f t="shared" si="2"/>
        <v>1</v>
      </c>
    </row>
  </sheetData>
  <mergeCells count="7">
    <mergeCell ref="A41:H42"/>
    <mergeCell ref="A26:H27"/>
    <mergeCell ref="A1:H2"/>
    <mergeCell ref="A4:C4"/>
    <mergeCell ref="A5:C5"/>
    <mergeCell ref="E4:I7"/>
    <mergeCell ref="A9:H10"/>
  </mergeCells>
  <conditionalFormatting sqref="E51:E55">
    <cfRule type="dataBar" priority="1">
      <dataBar>
        <cfvo type="min"/>
        <cfvo type="max"/>
        <color rgb="FFD6007B"/>
      </dataBar>
      <extLst>
        <ext xmlns:x14="http://schemas.microsoft.com/office/spreadsheetml/2009/9/main" uri="{B025F937-C7B1-47D3-B67F-A62EFF666E3E}">
          <x14:id>{7CE2425F-25EE-4AF2-94D8-1138848727C6}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CE2425F-25EE-4AF2-94D8-1138848727C6}">
            <x14:dataBar minLength="0" maxLength="100" border="1" negativeBarBorderColorSameAsPositive="0">
              <x14:cfvo type="autoMin"/>
              <x14:cfvo type="autoMax"/>
              <x14:borderColor rgb="FFD6007B"/>
              <x14:negativeFillColor rgb="FFFF0000"/>
              <x14:negativeBorderColor rgb="FFFF0000"/>
              <x14:axisColor rgb="FF000000"/>
            </x14:dataBar>
          </x14:cfRule>
          <xm:sqref>E51:E55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0E2F-2AD6-46AE-9C7D-3078547967A0}">
  <dimension ref="A1:G31"/>
  <sheetViews>
    <sheetView showGridLines="0" workbookViewId="0"/>
  </sheetViews>
  <sheetFormatPr defaultRowHeight="13.2" x14ac:dyDescent="0.25"/>
  <cols>
    <col min="1" max="1" width="2.33203125" customWidth="1"/>
    <col min="2" max="2" width="6.21875" bestFit="1" customWidth="1"/>
    <col min="3" max="3" width="33.21875" bestFit="1" customWidth="1"/>
    <col min="4" max="4" width="13.21875" bestFit="1" customWidth="1"/>
    <col min="5" max="5" width="13.88671875" bestFit="1" customWidth="1"/>
    <col min="6" max="6" width="10.33203125" bestFit="1" customWidth="1"/>
    <col min="7" max="7" width="5.6640625" bestFit="1" customWidth="1"/>
  </cols>
  <sheetData>
    <row r="1" spans="1:5" x14ac:dyDescent="0.25">
      <c r="A1" s="2" t="s">
        <v>15</v>
      </c>
    </row>
    <row r="2" spans="1:5" x14ac:dyDescent="0.25">
      <c r="A2" s="2" t="s">
        <v>97</v>
      </c>
    </row>
    <row r="3" spans="1:5" x14ac:dyDescent="0.25">
      <c r="A3" s="2" t="s">
        <v>117</v>
      </c>
    </row>
    <row r="4" spans="1:5" x14ac:dyDescent="0.25">
      <c r="A4" s="2" t="s">
        <v>16</v>
      </c>
    </row>
    <row r="5" spans="1:5" x14ac:dyDescent="0.25">
      <c r="A5" s="2" t="s">
        <v>17</v>
      </c>
    </row>
    <row r="6" spans="1:5" x14ac:dyDescent="0.25">
      <c r="A6" s="2"/>
      <c r="B6" t="s">
        <v>18</v>
      </c>
    </row>
    <row r="7" spans="1:5" x14ac:dyDescent="0.25">
      <c r="A7" s="2"/>
      <c r="B7" t="s">
        <v>19</v>
      </c>
    </row>
    <row r="8" spans="1:5" x14ac:dyDescent="0.25">
      <c r="A8" s="2"/>
      <c r="B8" t="s">
        <v>118</v>
      </c>
    </row>
    <row r="9" spans="1:5" x14ac:dyDescent="0.25">
      <c r="A9" s="2" t="s">
        <v>20</v>
      </c>
    </row>
    <row r="10" spans="1:5" x14ac:dyDescent="0.25">
      <c r="B10" t="s">
        <v>21</v>
      </c>
    </row>
    <row r="11" spans="1:5" x14ac:dyDescent="0.25">
      <c r="B11" t="s">
        <v>22</v>
      </c>
    </row>
    <row r="14" spans="1:5" ht="13.8" thickBot="1" x14ac:dyDescent="0.3">
      <c r="A14" t="s">
        <v>23</v>
      </c>
    </row>
    <row r="15" spans="1:5" ht="13.8" thickBot="1" x14ac:dyDescent="0.3">
      <c r="B15" s="4" t="s">
        <v>24</v>
      </c>
      <c r="C15" s="4" t="s">
        <v>25</v>
      </c>
      <c r="D15" s="4" t="s">
        <v>26</v>
      </c>
      <c r="E15" s="4" t="s">
        <v>27</v>
      </c>
    </row>
    <row r="16" spans="1:5" ht="13.8" thickBot="1" x14ac:dyDescent="0.3">
      <c r="B16" s="3" t="s">
        <v>98</v>
      </c>
      <c r="C16" s="3" t="s">
        <v>99</v>
      </c>
      <c r="D16" s="3">
        <v>0</v>
      </c>
      <c r="E16" s="3">
        <v>2290</v>
      </c>
    </row>
    <row r="19" spans="1:7" ht="13.8" thickBot="1" x14ac:dyDescent="0.3">
      <c r="A19" t="s">
        <v>28</v>
      </c>
    </row>
    <row r="20" spans="1:7" ht="13.8" thickBot="1" x14ac:dyDescent="0.3">
      <c r="B20" s="4" t="s">
        <v>24</v>
      </c>
      <c r="C20" s="4" t="s">
        <v>25</v>
      </c>
      <c r="D20" s="4" t="s">
        <v>26</v>
      </c>
      <c r="E20" s="4" t="s">
        <v>27</v>
      </c>
      <c r="F20" s="4" t="s">
        <v>29</v>
      </c>
    </row>
    <row r="21" spans="1:7" x14ac:dyDescent="0.25">
      <c r="B21" s="5" t="s">
        <v>100</v>
      </c>
      <c r="C21" s="5" t="s">
        <v>34</v>
      </c>
      <c r="D21" s="5">
        <v>0</v>
      </c>
      <c r="E21" s="5">
        <v>12.999999999999998</v>
      </c>
      <c r="F21" s="5" t="s">
        <v>35</v>
      </c>
    </row>
    <row r="22" spans="1:7" ht="13.8" thickBot="1" x14ac:dyDescent="0.3">
      <c r="B22" s="3" t="s">
        <v>101</v>
      </c>
      <c r="C22" s="3" t="s">
        <v>36</v>
      </c>
      <c r="D22" s="3">
        <v>0</v>
      </c>
      <c r="E22" s="3">
        <v>2.0000000000000018</v>
      </c>
      <c r="F22" s="3" t="s">
        <v>35</v>
      </c>
    </row>
    <row r="25" spans="1:7" ht="13.8" thickBot="1" x14ac:dyDescent="0.3">
      <c r="A25" t="s">
        <v>5</v>
      </c>
    </row>
    <row r="26" spans="1:7" ht="13.8" thickBot="1" x14ac:dyDescent="0.3">
      <c r="B26" s="4" t="s">
        <v>24</v>
      </c>
      <c r="C26" s="4" t="s">
        <v>25</v>
      </c>
      <c r="D26" s="4" t="s">
        <v>30</v>
      </c>
      <c r="E26" s="4" t="s">
        <v>31</v>
      </c>
      <c r="F26" s="4" t="s">
        <v>32</v>
      </c>
      <c r="G26" s="4" t="s">
        <v>33</v>
      </c>
    </row>
    <row r="27" spans="1:7" x14ac:dyDescent="0.25">
      <c r="B27" s="5" t="s">
        <v>102</v>
      </c>
      <c r="C27" s="5" t="s">
        <v>103</v>
      </c>
      <c r="D27" s="5">
        <v>490000</v>
      </c>
      <c r="E27" s="5" t="s">
        <v>104</v>
      </c>
      <c r="F27" s="5" t="s">
        <v>38</v>
      </c>
      <c r="G27" s="5">
        <v>0</v>
      </c>
    </row>
    <row r="28" spans="1:7" x14ac:dyDescent="0.25">
      <c r="B28" s="5" t="s">
        <v>105</v>
      </c>
      <c r="C28" s="5" t="s">
        <v>106</v>
      </c>
      <c r="D28" s="5">
        <v>128</v>
      </c>
      <c r="E28" s="5" t="s">
        <v>107</v>
      </c>
      <c r="F28" s="5" t="s">
        <v>37</v>
      </c>
      <c r="G28" s="5">
        <v>2</v>
      </c>
    </row>
    <row r="29" spans="1:7" x14ac:dyDescent="0.25">
      <c r="B29" s="5" t="s">
        <v>108</v>
      </c>
      <c r="C29" s="5" t="s">
        <v>109</v>
      </c>
      <c r="D29" s="5">
        <v>310</v>
      </c>
      <c r="E29" s="5" t="s">
        <v>110</v>
      </c>
      <c r="F29" s="5" t="s">
        <v>37</v>
      </c>
      <c r="G29" s="5">
        <v>10</v>
      </c>
    </row>
    <row r="30" spans="1:7" x14ac:dyDescent="0.25">
      <c r="B30" s="5" t="s">
        <v>111</v>
      </c>
      <c r="C30" s="5" t="s">
        <v>112</v>
      </c>
      <c r="D30" s="5">
        <v>200.00000000000017</v>
      </c>
      <c r="E30" s="5" t="s">
        <v>113</v>
      </c>
      <c r="F30" s="5" t="s">
        <v>37</v>
      </c>
      <c r="G30" s="5">
        <v>49.999999999999829</v>
      </c>
    </row>
    <row r="31" spans="1:7" ht="13.8" thickBot="1" x14ac:dyDescent="0.3">
      <c r="B31" s="3" t="s">
        <v>114</v>
      </c>
      <c r="C31" s="3" t="s">
        <v>115</v>
      </c>
      <c r="D31" s="3">
        <v>15</v>
      </c>
      <c r="E31" s="3" t="s">
        <v>116</v>
      </c>
      <c r="F31" s="3" t="s">
        <v>38</v>
      </c>
      <c r="G31" s="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B2D4-0DEB-400C-858C-3D7920293DAA}">
  <dimension ref="A1:H19"/>
  <sheetViews>
    <sheetView showGridLines="0" workbookViewId="0"/>
  </sheetViews>
  <sheetFormatPr defaultRowHeight="13.2" x14ac:dyDescent="0.25"/>
  <cols>
    <col min="1" max="1" width="2.33203125" customWidth="1"/>
    <col min="2" max="2" width="6.33203125" bestFit="1" customWidth="1"/>
    <col min="3" max="3" width="33.21875" bestFit="1" customWidth="1"/>
    <col min="4" max="4" width="7" bestFit="1" customWidth="1"/>
    <col min="5" max="5" width="8.6640625" bestFit="1" customWidth="1"/>
    <col min="6" max="6" width="10.21875" bestFit="1" customWidth="1"/>
    <col min="7" max="7" width="9.21875" bestFit="1" customWidth="1"/>
    <col min="8" max="8" width="12" bestFit="1" customWidth="1"/>
  </cols>
  <sheetData>
    <row r="1" spans="1:8" x14ac:dyDescent="0.25">
      <c r="A1" s="2" t="s">
        <v>39</v>
      </c>
    </row>
    <row r="2" spans="1:8" x14ac:dyDescent="0.25">
      <c r="A2" s="2" t="s">
        <v>97</v>
      </c>
    </row>
    <row r="3" spans="1:8" x14ac:dyDescent="0.25">
      <c r="A3" s="2" t="s">
        <v>117</v>
      </c>
    </row>
    <row r="6" spans="1:8" ht="13.8" thickBot="1" x14ac:dyDescent="0.3">
      <c r="A6" t="s">
        <v>28</v>
      </c>
    </row>
    <row r="7" spans="1:8" x14ac:dyDescent="0.25">
      <c r="B7" s="6"/>
      <c r="C7" s="6"/>
      <c r="D7" s="6" t="s">
        <v>40</v>
      </c>
      <c r="E7" s="6" t="s">
        <v>42</v>
      </c>
      <c r="F7" s="6" t="s">
        <v>44</v>
      </c>
      <c r="G7" s="6" t="s">
        <v>46</v>
      </c>
      <c r="H7" s="6" t="s">
        <v>46</v>
      </c>
    </row>
    <row r="8" spans="1:8" ht="13.8" thickBot="1" x14ac:dyDescent="0.3">
      <c r="B8" s="7" t="s">
        <v>24</v>
      </c>
      <c r="C8" s="7" t="s">
        <v>25</v>
      </c>
      <c r="D8" s="7" t="s">
        <v>41</v>
      </c>
      <c r="E8" s="7" t="s">
        <v>43</v>
      </c>
      <c r="F8" s="7" t="s">
        <v>45</v>
      </c>
      <c r="G8" s="7" t="s">
        <v>47</v>
      </c>
      <c r="H8" s="7" t="s">
        <v>48</v>
      </c>
    </row>
    <row r="9" spans="1:8" x14ac:dyDescent="0.25">
      <c r="B9" s="5" t="s">
        <v>100</v>
      </c>
      <c r="C9" s="5" t="s">
        <v>34</v>
      </c>
      <c r="D9" s="5">
        <v>12.999999999999998</v>
      </c>
      <c r="E9" s="5">
        <v>0</v>
      </c>
      <c r="F9" s="5">
        <v>150</v>
      </c>
      <c r="G9" s="5">
        <v>20.000000000000004</v>
      </c>
      <c r="H9" s="5">
        <v>48</v>
      </c>
    </row>
    <row r="10" spans="1:8" ht="13.8" thickBot="1" x14ac:dyDescent="0.3">
      <c r="B10" s="3" t="s">
        <v>101</v>
      </c>
      <c r="C10" s="3" t="s">
        <v>36</v>
      </c>
      <c r="D10" s="3">
        <v>2.0000000000000018</v>
      </c>
      <c r="E10" s="3">
        <v>0</v>
      </c>
      <c r="F10" s="3">
        <v>170</v>
      </c>
      <c r="G10" s="3">
        <v>80</v>
      </c>
      <c r="H10" s="3">
        <v>20</v>
      </c>
    </row>
    <row r="12" spans="1:8" ht="13.8" thickBot="1" x14ac:dyDescent="0.3">
      <c r="A12" t="s">
        <v>5</v>
      </c>
    </row>
    <row r="13" spans="1:8" x14ac:dyDescent="0.25">
      <c r="B13" s="6"/>
      <c r="C13" s="6"/>
      <c r="D13" s="6" t="s">
        <v>40</v>
      </c>
      <c r="E13" s="6" t="s">
        <v>49</v>
      </c>
      <c r="F13" s="6" t="s">
        <v>51</v>
      </c>
      <c r="G13" s="6" t="s">
        <v>46</v>
      </c>
      <c r="H13" s="6" t="s">
        <v>46</v>
      </c>
    </row>
    <row r="14" spans="1:8" ht="13.8" thickBot="1" x14ac:dyDescent="0.3">
      <c r="B14" s="7" t="s">
        <v>24</v>
      </c>
      <c r="C14" s="7" t="s">
        <v>25</v>
      </c>
      <c r="D14" s="7" t="s">
        <v>41</v>
      </c>
      <c r="E14" s="7" t="s">
        <v>50</v>
      </c>
      <c r="F14" s="7" t="s">
        <v>52</v>
      </c>
      <c r="G14" s="7" t="s">
        <v>47</v>
      </c>
      <c r="H14" s="7" t="s">
        <v>48</v>
      </c>
    </row>
    <row r="15" spans="1:8" x14ac:dyDescent="0.25">
      <c r="B15" s="5" t="s">
        <v>102</v>
      </c>
      <c r="C15" s="5" t="s">
        <v>103</v>
      </c>
      <c r="D15" s="5">
        <v>490000</v>
      </c>
      <c r="E15" s="5">
        <v>1E-3</v>
      </c>
      <c r="F15" s="5">
        <v>490000</v>
      </c>
      <c r="G15" s="5">
        <v>9999.9999999999636</v>
      </c>
      <c r="H15" s="5">
        <v>40000.000000000036</v>
      </c>
    </row>
    <row r="16" spans="1:8" x14ac:dyDescent="0.25">
      <c r="B16" s="5" t="s">
        <v>105</v>
      </c>
      <c r="C16" s="5" t="s">
        <v>106</v>
      </c>
      <c r="D16" s="5">
        <v>128</v>
      </c>
      <c r="E16" s="5">
        <v>0</v>
      </c>
      <c r="F16" s="5">
        <v>130</v>
      </c>
      <c r="G16" s="5">
        <v>1E+30</v>
      </c>
      <c r="H16" s="5">
        <v>1.9999999999999929</v>
      </c>
    </row>
    <row r="17" spans="2:8" x14ac:dyDescent="0.25">
      <c r="B17" s="5" t="s">
        <v>108</v>
      </c>
      <c r="C17" s="5" t="s">
        <v>109</v>
      </c>
      <c r="D17" s="5">
        <v>310</v>
      </c>
      <c r="E17" s="5">
        <v>0</v>
      </c>
      <c r="F17" s="5">
        <v>320</v>
      </c>
      <c r="G17" s="5">
        <v>1E+30</v>
      </c>
      <c r="H17" s="5">
        <v>9.9999999999999787</v>
      </c>
    </row>
    <row r="18" spans="2:8" x14ac:dyDescent="0.25">
      <c r="B18" s="5" t="s">
        <v>111</v>
      </c>
      <c r="C18" s="5" t="s">
        <v>112</v>
      </c>
      <c r="D18" s="5">
        <v>200.00000000000017</v>
      </c>
      <c r="E18" s="5">
        <v>0</v>
      </c>
      <c r="F18" s="5">
        <v>250</v>
      </c>
      <c r="G18" s="5">
        <v>1E+30</v>
      </c>
      <c r="H18" s="5">
        <v>49.999999999999822</v>
      </c>
    </row>
    <row r="19" spans="2:8" ht="13.8" thickBot="1" x14ac:dyDescent="0.3">
      <c r="B19" s="3" t="s">
        <v>114</v>
      </c>
      <c r="C19" s="3" t="s">
        <v>115</v>
      </c>
      <c r="D19" s="3">
        <v>15</v>
      </c>
      <c r="E19" s="3">
        <v>120</v>
      </c>
      <c r="F19" s="3">
        <v>15</v>
      </c>
      <c r="G19" s="3">
        <v>0.79999999999999849</v>
      </c>
      <c r="H19" s="3">
        <v>0.33333333333333215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BD3A-91EA-4E72-80A9-F1C98DA94470}">
  <sheetPr>
    <outlinePr summaryBelow="0" summaryRight="0"/>
  </sheetPr>
  <dimension ref="A2:I58"/>
  <sheetViews>
    <sheetView topLeftCell="A37" workbookViewId="0"/>
  </sheetViews>
  <sheetFormatPr defaultColWidth="12.6640625" defaultRowHeight="15.75" customHeight="1" x14ac:dyDescent="0.25"/>
  <cols>
    <col min="1" max="1" width="50" bestFit="1" customWidth="1"/>
    <col min="2" max="2" width="16.109375" customWidth="1"/>
    <col min="3" max="3" width="15.88671875" bestFit="1" customWidth="1"/>
    <col min="4" max="4" width="25.21875" bestFit="1" customWidth="1"/>
    <col min="5" max="5" width="19.21875" customWidth="1"/>
    <col min="6" max="6" width="16.33203125" bestFit="1" customWidth="1"/>
    <col min="7" max="7" width="14.109375" bestFit="1" customWidth="1"/>
    <col min="8" max="8" width="17.5546875" bestFit="1" customWidth="1"/>
  </cols>
  <sheetData>
    <row r="2" spans="1:9" ht="13.2" x14ac:dyDescent="0.25">
      <c r="A2" s="52" t="s">
        <v>214</v>
      </c>
      <c r="B2" s="52"/>
      <c r="C2" s="52"/>
      <c r="D2" s="52"/>
      <c r="E2" s="52"/>
      <c r="F2" s="52"/>
      <c r="G2" s="52"/>
      <c r="H2" s="52"/>
      <c r="I2" s="52"/>
    </row>
    <row r="3" spans="1:9" ht="15.75" customHeight="1" x14ac:dyDescent="0.25">
      <c r="A3" s="52"/>
      <c r="B3" s="52"/>
      <c r="C3" s="52"/>
      <c r="D3" s="52"/>
      <c r="E3" s="52"/>
      <c r="F3" s="52"/>
      <c r="G3" s="52"/>
      <c r="H3" s="52"/>
      <c r="I3" s="52"/>
    </row>
    <row r="4" spans="1:9" ht="13.2" x14ac:dyDescent="0.25">
      <c r="A4" s="12"/>
    </row>
    <row r="5" spans="1:9" ht="15.6" x14ac:dyDescent="0.3">
      <c r="A5" s="18" t="s">
        <v>119</v>
      </c>
      <c r="B5" s="27"/>
      <c r="D5" s="18" t="s">
        <v>120</v>
      </c>
      <c r="E5" s="27"/>
    </row>
    <row r="6" spans="1:9" ht="13.2" x14ac:dyDescent="0.25">
      <c r="A6" s="28" t="s">
        <v>121</v>
      </c>
      <c r="B6" s="28" t="s">
        <v>122</v>
      </c>
      <c r="D6" s="28" t="s">
        <v>123</v>
      </c>
      <c r="E6" s="28" t="s">
        <v>124</v>
      </c>
    </row>
    <row r="7" spans="1:9" ht="13.2" x14ac:dyDescent="0.25">
      <c r="A7" s="29" t="s">
        <v>125</v>
      </c>
      <c r="B7" s="29">
        <v>300</v>
      </c>
      <c r="D7" s="29" t="s">
        <v>126</v>
      </c>
      <c r="E7" s="29">
        <v>280</v>
      </c>
    </row>
    <row r="8" spans="1:9" ht="13.2" x14ac:dyDescent="0.25">
      <c r="A8" s="29" t="s">
        <v>127</v>
      </c>
      <c r="B8" s="29">
        <v>250</v>
      </c>
      <c r="D8" s="29" t="s">
        <v>128</v>
      </c>
      <c r="E8" s="29">
        <v>220</v>
      </c>
    </row>
    <row r="9" spans="1:9" ht="13.2" x14ac:dyDescent="0.25">
      <c r="A9" s="29" t="s">
        <v>129</v>
      </c>
      <c r="B9" s="29">
        <v>200</v>
      </c>
      <c r="D9" s="29" t="s">
        <v>130</v>
      </c>
      <c r="E9" s="29">
        <v>250</v>
      </c>
    </row>
    <row r="10" spans="1:9" ht="13.2" x14ac:dyDescent="0.25">
      <c r="A10" s="29" t="s">
        <v>131</v>
      </c>
      <c r="B10" s="29">
        <v>150</v>
      </c>
      <c r="D10" s="29" t="s">
        <v>132</v>
      </c>
      <c r="E10" s="29">
        <v>150</v>
      </c>
    </row>
    <row r="11" spans="1:9" ht="13.2" x14ac:dyDescent="0.25">
      <c r="A11" s="29" t="s">
        <v>133</v>
      </c>
      <c r="B11" s="29">
        <v>900</v>
      </c>
      <c r="D11" s="29" t="s">
        <v>133</v>
      </c>
      <c r="E11" s="29">
        <v>900</v>
      </c>
    </row>
    <row r="13" spans="1:9" ht="15.75" customHeight="1" x14ac:dyDescent="0.25">
      <c r="A13" s="57" t="s">
        <v>210</v>
      </c>
      <c r="B13" s="57"/>
      <c r="C13" s="57"/>
      <c r="D13" s="57"/>
      <c r="E13" s="57"/>
      <c r="F13" s="57"/>
      <c r="G13" s="57"/>
      <c r="H13" s="57"/>
      <c r="I13" s="57"/>
    </row>
    <row r="14" spans="1:9" ht="15.75" customHeight="1" x14ac:dyDescent="0.25">
      <c r="A14" s="57"/>
      <c r="B14" s="57"/>
      <c r="C14" s="57"/>
      <c r="D14" s="57"/>
      <c r="E14" s="57"/>
      <c r="F14" s="57"/>
      <c r="G14" s="57"/>
      <c r="H14" s="57"/>
      <c r="I14" s="57"/>
    </row>
    <row r="15" spans="1:9" ht="13.2" x14ac:dyDescent="0.25">
      <c r="A15" s="12"/>
    </row>
    <row r="16" spans="1:9" ht="15.6" x14ac:dyDescent="0.3">
      <c r="A16" s="12"/>
      <c r="B16" s="64" t="s">
        <v>134</v>
      </c>
      <c r="C16" s="64"/>
      <c r="D16" s="64"/>
      <c r="E16" s="64"/>
    </row>
    <row r="17" spans="1:7" ht="13.2" x14ac:dyDescent="0.25"/>
    <row r="18" spans="1:7" ht="13.2" x14ac:dyDescent="0.25">
      <c r="A18" s="23" t="s">
        <v>135</v>
      </c>
      <c r="B18" s="23" t="s">
        <v>136</v>
      </c>
      <c r="C18" s="23" t="s">
        <v>137</v>
      </c>
      <c r="D18" s="23" t="s">
        <v>138</v>
      </c>
      <c r="E18" s="23" t="s">
        <v>139</v>
      </c>
      <c r="F18" s="23" t="s">
        <v>140</v>
      </c>
      <c r="G18" s="12"/>
    </row>
    <row r="19" spans="1:7" ht="13.2" x14ac:dyDescent="0.25">
      <c r="A19" s="29">
        <v>1</v>
      </c>
      <c r="B19" s="29" t="s">
        <v>125</v>
      </c>
      <c r="C19" s="29" t="s">
        <v>126</v>
      </c>
      <c r="D19" s="29">
        <v>10</v>
      </c>
      <c r="E19" s="29">
        <v>0.75</v>
      </c>
      <c r="F19" s="35">
        <f>(D19*10)+(E19*300)</f>
        <v>325</v>
      </c>
      <c r="G19" s="1"/>
    </row>
    <row r="20" spans="1:7" ht="13.2" x14ac:dyDescent="0.25">
      <c r="A20" s="29">
        <v>2</v>
      </c>
      <c r="B20" s="29" t="s">
        <v>125</v>
      </c>
      <c r="C20" s="29" t="s">
        <v>128</v>
      </c>
      <c r="D20" s="29">
        <v>20</v>
      </c>
      <c r="E20" s="29">
        <v>1.25</v>
      </c>
      <c r="F20" s="35">
        <f t="shared" ref="F20:F34" si="0">(D20*10)+(E20*300)</f>
        <v>575</v>
      </c>
      <c r="G20" s="1"/>
    </row>
    <row r="21" spans="1:7" ht="13.2" x14ac:dyDescent="0.25">
      <c r="A21" s="29">
        <v>3</v>
      </c>
      <c r="B21" s="29" t="s">
        <v>125</v>
      </c>
      <c r="C21" s="29" t="s">
        <v>130</v>
      </c>
      <c r="D21" s="29">
        <v>18</v>
      </c>
      <c r="E21" s="29">
        <v>1.1000000000000001</v>
      </c>
      <c r="F21" s="35">
        <f t="shared" si="0"/>
        <v>510</v>
      </c>
      <c r="G21" s="1"/>
    </row>
    <row r="22" spans="1:7" ht="13.2" x14ac:dyDescent="0.25">
      <c r="A22" s="29">
        <v>4</v>
      </c>
      <c r="B22" s="29" t="s">
        <v>125</v>
      </c>
      <c r="C22" s="29" t="s">
        <v>132</v>
      </c>
      <c r="D22" s="29">
        <v>8</v>
      </c>
      <c r="E22" s="29">
        <v>0.5</v>
      </c>
      <c r="F22" s="35">
        <f t="shared" si="0"/>
        <v>230</v>
      </c>
      <c r="G22" s="1"/>
    </row>
    <row r="23" spans="1:7" ht="13.2" x14ac:dyDescent="0.25">
      <c r="A23" s="29">
        <v>5</v>
      </c>
      <c r="B23" s="29" t="s">
        <v>127</v>
      </c>
      <c r="C23" s="29" t="s">
        <v>126</v>
      </c>
      <c r="D23" s="29">
        <v>3</v>
      </c>
      <c r="E23" s="29">
        <v>0.25</v>
      </c>
      <c r="F23" s="35">
        <f t="shared" si="0"/>
        <v>105</v>
      </c>
      <c r="G23" s="1"/>
    </row>
    <row r="24" spans="1:7" ht="13.2" x14ac:dyDescent="0.25">
      <c r="A24" s="29">
        <v>6</v>
      </c>
      <c r="B24" s="29" t="s">
        <v>127</v>
      </c>
      <c r="C24" s="29" t="s">
        <v>128</v>
      </c>
      <c r="D24" s="29">
        <v>15</v>
      </c>
      <c r="E24" s="29">
        <v>1</v>
      </c>
      <c r="F24" s="35">
        <f t="shared" si="0"/>
        <v>450</v>
      </c>
      <c r="G24" s="1"/>
    </row>
    <row r="25" spans="1:7" ht="13.2" x14ac:dyDescent="0.25">
      <c r="A25" s="29">
        <v>7</v>
      </c>
      <c r="B25" s="29" t="s">
        <v>127</v>
      </c>
      <c r="C25" s="29" t="s">
        <v>130</v>
      </c>
      <c r="D25" s="29">
        <v>14</v>
      </c>
      <c r="E25" s="29">
        <v>0.9</v>
      </c>
      <c r="F25" s="35">
        <f t="shared" si="0"/>
        <v>410</v>
      </c>
      <c r="G25" s="1"/>
    </row>
    <row r="26" spans="1:7" ht="13.2" x14ac:dyDescent="0.25">
      <c r="A26" s="29">
        <v>8</v>
      </c>
      <c r="B26" s="29" t="s">
        <v>127</v>
      </c>
      <c r="C26" s="29" t="s">
        <v>132</v>
      </c>
      <c r="D26" s="29">
        <v>18</v>
      </c>
      <c r="E26" s="29">
        <v>1.2</v>
      </c>
      <c r="F26" s="35">
        <f t="shared" si="0"/>
        <v>540</v>
      </c>
      <c r="G26" s="1"/>
    </row>
    <row r="27" spans="1:7" ht="13.2" x14ac:dyDescent="0.25">
      <c r="A27" s="29">
        <v>9</v>
      </c>
      <c r="B27" s="29" t="s">
        <v>129</v>
      </c>
      <c r="C27" s="29" t="s">
        <v>126</v>
      </c>
      <c r="D27" s="29">
        <v>8</v>
      </c>
      <c r="E27" s="29">
        <v>0.6</v>
      </c>
      <c r="F27" s="35">
        <f t="shared" si="0"/>
        <v>260</v>
      </c>
      <c r="G27" s="1"/>
    </row>
    <row r="28" spans="1:7" ht="13.2" x14ac:dyDescent="0.25">
      <c r="A28" s="29">
        <v>10</v>
      </c>
      <c r="B28" s="29" t="s">
        <v>129</v>
      </c>
      <c r="C28" s="29" t="s">
        <v>128</v>
      </c>
      <c r="D28" s="29">
        <v>5</v>
      </c>
      <c r="E28" s="29">
        <v>0.4</v>
      </c>
      <c r="F28" s="35">
        <f t="shared" si="0"/>
        <v>170</v>
      </c>
      <c r="G28" s="1"/>
    </row>
    <row r="29" spans="1:7" ht="13.2" x14ac:dyDescent="0.25">
      <c r="A29" s="29">
        <v>11</v>
      </c>
      <c r="B29" s="29" t="s">
        <v>129</v>
      </c>
      <c r="C29" s="29" t="s">
        <v>130</v>
      </c>
      <c r="D29" s="29">
        <v>2</v>
      </c>
      <c r="E29" s="29">
        <v>0.2</v>
      </c>
      <c r="F29" s="35">
        <f t="shared" si="0"/>
        <v>80</v>
      </c>
      <c r="G29" s="1"/>
    </row>
    <row r="30" spans="1:7" ht="13.2" x14ac:dyDescent="0.25">
      <c r="A30" s="29">
        <v>12</v>
      </c>
      <c r="B30" s="29" t="s">
        <v>129</v>
      </c>
      <c r="C30" s="29" t="s">
        <v>132</v>
      </c>
      <c r="D30" s="29">
        <v>25</v>
      </c>
      <c r="E30" s="29">
        <v>1.5</v>
      </c>
      <c r="F30" s="35">
        <f t="shared" si="0"/>
        <v>700</v>
      </c>
      <c r="G30" s="1"/>
    </row>
    <row r="31" spans="1:7" ht="13.2" x14ac:dyDescent="0.25">
      <c r="A31" s="29">
        <v>13</v>
      </c>
      <c r="B31" s="29" t="s">
        <v>131</v>
      </c>
      <c r="C31" s="29" t="s">
        <v>126</v>
      </c>
      <c r="D31" s="29">
        <v>4</v>
      </c>
      <c r="E31" s="29">
        <v>0.3</v>
      </c>
      <c r="F31" s="35">
        <f t="shared" si="0"/>
        <v>130</v>
      </c>
      <c r="G31" s="1"/>
    </row>
    <row r="32" spans="1:7" ht="13.2" x14ac:dyDescent="0.25">
      <c r="A32" s="29">
        <v>14</v>
      </c>
      <c r="B32" s="29" t="s">
        <v>131</v>
      </c>
      <c r="C32" s="29" t="s">
        <v>128</v>
      </c>
      <c r="D32" s="29">
        <v>17</v>
      </c>
      <c r="E32" s="29">
        <v>1.1000000000000001</v>
      </c>
      <c r="F32" s="35">
        <f t="shared" si="0"/>
        <v>500</v>
      </c>
      <c r="G32" s="1"/>
    </row>
    <row r="33" spans="1:9" ht="13.2" x14ac:dyDescent="0.25">
      <c r="A33" s="29">
        <v>15</v>
      </c>
      <c r="B33" s="29" t="s">
        <v>131</v>
      </c>
      <c r="C33" s="29" t="s">
        <v>130</v>
      </c>
      <c r="D33" s="29">
        <v>16</v>
      </c>
      <c r="E33" s="29">
        <v>1</v>
      </c>
      <c r="F33" s="35">
        <f t="shared" si="0"/>
        <v>460</v>
      </c>
      <c r="G33" s="1"/>
    </row>
    <row r="34" spans="1:9" ht="13.2" x14ac:dyDescent="0.25">
      <c r="A34" s="29">
        <v>16</v>
      </c>
      <c r="B34" s="29" t="s">
        <v>131</v>
      </c>
      <c r="C34" s="29" t="s">
        <v>132</v>
      </c>
      <c r="D34" s="29">
        <v>12</v>
      </c>
      <c r="E34" s="29">
        <v>0.8</v>
      </c>
      <c r="F34" s="35">
        <f t="shared" si="0"/>
        <v>360</v>
      </c>
      <c r="G34" s="1"/>
    </row>
    <row r="35" spans="1:9" ht="13.2" x14ac:dyDescent="0.25"/>
    <row r="36" spans="1:9" ht="13.2" x14ac:dyDescent="0.25">
      <c r="A36" s="65" t="s">
        <v>211</v>
      </c>
      <c r="B36" s="65"/>
      <c r="C36" s="65"/>
      <c r="D36" s="65"/>
      <c r="E36" s="65"/>
      <c r="F36" s="65"/>
      <c r="G36" s="65"/>
      <c r="H36" s="65"/>
      <c r="I36" s="65"/>
    </row>
    <row r="37" spans="1:9" ht="13.2" x14ac:dyDescent="0.25">
      <c r="A37" s="65"/>
      <c r="B37" s="65"/>
      <c r="C37" s="65"/>
      <c r="D37" s="65"/>
      <c r="E37" s="65"/>
      <c r="F37" s="65"/>
      <c r="G37" s="65"/>
      <c r="H37" s="65"/>
      <c r="I37" s="65"/>
    </row>
    <row r="38" spans="1:9" ht="13.2" x14ac:dyDescent="0.25"/>
    <row r="39" spans="1:9" ht="15.75" customHeight="1" x14ac:dyDescent="0.3">
      <c r="A39" s="30" t="s">
        <v>212</v>
      </c>
    </row>
    <row r="40" spans="1:9" ht="15.6" x14ac:dyDescent="0.3">
      <c r="A40" s="31"/>
      <c r="B40" s="31" t="s">
        <v>126</v>
      </c>
      <c r="C40" s="31" t="s">
        <v>128</v>
      </c>
      <c r="D40" s="31" t="s">
        <v>130</v>
      </c>
      <c r="E40" s="31" t="s">
        <v>132</v>
      </c>
      <c r="F40" s="31" t="s">
        <v>122</v>
      </c>
      <c r="H40" s="48" t="s">
        <v>216</v>
      </c>
      <c r="I40" s="45"/>
    </row>
    <row r="41" spans="1:9" ht="15.6" x14ac:dyDescent="0.3">
      <c r="A41" s="31" t="s">
        <v>125</v>
      </c>
      <c r="B41" s="33">
        <v>325</v>
      </c>
      <c r="C41" s="33">
        <v>575</v>
      </c>
      <c r="D41" s="33">
        <v>510</v>
      </c>
      <c r="E41" s="33">
        <v>230</v>
      </c>
      <c r="F41" s="49">
        <v>300</v>
      </c>
      <c r="H41" s="48" t="s">
        <v>217</v>
      </c>
      <c r="I41" s="46"/>
    </row>
    <row r="42" spans="1:9" ht="15.6" x14ac:dyDescent="0.3">
      <c r="A42" s="31" t="s">
        <v>127</v>
      </c>
      <c r="B42" s="33">
        <v>105</v>
      </c>
      <c r="C42" s="33">
        <v>450</v>
      </c>
      <c r="D42" s="33">
        <v>410</v>
      </c>
      <c r="E42" s="33">
        <v>540</v>
      </c>
      <c r="F42" s="49">
        <v>250</v>
      </c>
      <c r="H42" s="48" t="s">
        <v>218</v>
      </c>
      <c r="I42" s="47"/>
    </row>
    <row r="43" spans="1:9" ht="15.6" x14ac:dyDescent="0.3">
      <c r="A43" s="31" t="s">
        <v>129</v>
      </c>
      <c r="B43" s="33">
        <v>260</v>
      </c>
      <c r="C43" s="33">
        <v>170</v>
      </c>
      <c r="D43" s="33">
        <v>80</v>
      </c>
      <c r="E43" s="33">
        <v>700</v>
      </c>
      <c r="F43" s="49">
        <v>200</v>
      </c>
    </row>
    <row r="44" spans="1:9" ht="15.6" x14ac:dyDescent="0.3">
      <c r="A44" s="31" t="s">
        <v>131</v>
      </c>
      <c r="B44" s="33">
        <v>130</v>
      </c>
      <c r="C44" s="33">
        <v>500</v>
      </c>
      <c r="D44" s="33">
        <v>460</v>
      </c>
      <c r="E44" s="33">
        <v>360</v>
      </c>
      <c r="F44" s="49">
        <v>150</v>
      </c>
    </row>
    <row r="45" spans="1:9" ht="15.6" x14ac:dyDescent="0.3">
      <c r="A45" s="31" t="s">
        <v>124</v>
      </c>
      <c r="B45" s="49">
        <v>280</v>
      </c>
      <c r="C45" s="49">
        <v>220</v>
      </c>
      <c r="D45" s="49">
        <v>250</v>
      </c>
      <c r="E45" s="49">
        <v>150</v>
      </c>
      <c r="F45" s="33">
        <v>900</v>
      </c>
    </row>
    <row r="47" spans="1:9" ht="17.399999999999999" x14ac:dyDescent="0.3">
      <c r="A47" s="30" t="s">
        <v>213</v>
      </c>
    </row>
    <row r="48" spans="1:9" ht="15.6" x14ac:dyDescent="0.3">
      <c r="A48" s="31" t="s">
        <v>145</v>
      </c>
      <c r="B48" s="31" t="s">
        <v>126</v>
      </c>
      <c r="C48" s="31" t="s">
        <v>128</v>
      </c>
      <c r="D48" s="31" t="s">
        <v>130</v>
      </c>
      <c r="E48" s="31" t="s">
        <v>132</v>
      </c>
      <c r="F48" s="31" t="s">
        <v>141</v>
      </c>
      <c r="G48" s="31" t="s">
        <v>142</v>
      </c>
    </row>
    <row r="49" spans="1:7" ht="15.6" x14ac:dyDescent="0.3">
      <c r="A49" s="31" t="s">
        <v>125</v>
      </c>
      <c r="B49" s="44">
        <v>0</v>
      </c>
      <c r="C49" s="44">
        <v>100</v>
      </c>
      <c r="D49" s="44">
        <v>50</v>
      </c>
      <c r="E49" s="44">
        <v>150</v>
      </c>
      <c r="F49" s="34">
        <f>SUM(B49:E49)</f>
        <v>300</v>
      </c>
      <c r="G49" s="49">
        <v>300</v>
      </c>
    </row>
    <row r="50" spans="1:7" ht="15.6" x14ac:dyDescent="0.3">
      <c r="A50" s="31" t="s">
        <v>127</v>
      </c>
      <c r="B50" s="44">
        <v>130</v>
      </c>
      <c r="C50" s="44">
        <v>120</v>
      </c>
      <c r="D50" s="44">
        <v>0</v>
      </c>
      <c r="E50" s="44">
        <v>0</v>
      </c>
      <c r="F50" s="34">
        <f>SUM(B50:E50)</f>
        <v>250</v>
      </c>
      <c r="G50" s="49">
        <v>250</v>
      </c>
    </row>
    <row r="51" spans="1:7" ht="15.6" x14ac:dyDescent="0.3">
      <c r="A51" s="31" t="s">
        <v>129</v>
      </c>
      <c r="B51" s="44">
        <v>0</v>
      </c>
      <c r="C51" s="44">
        <v>0</v>
      </c>
      <c r="D51" s="44">
        <v>200</v>
      </c>
      <c r="E51" s="44">
        <v>0</v>
      </c>
      <c r="F51" s="34">
        <f>SUM(B51:E51)</f>
        <v>200</v>
      </c>
      <c r="G51" s="49">
        <v>200</v>
      </c>
    </row>
    <row r="52" spans="1:7" ht="15.6" x14ac:dyDescent="0.3">
      <c r="A52" s="31" t="s">
        <v>131</v>
      </c>
      <c r="B52" s="44">
        <v>150</v>
      </c>
      <c r="C52" s="44">
        <v>0</v>
      </c>
      <c r="D52" s="44">
        <v>0</v>
      </c>
      <c r="E52" s="44">
        <v>0</v>
      </c>
      <c r="F52" s="34">
        <f>SUM(B52:E52)</f>
        <v>150</v>
      </c>
      <c r="G52" s="49">
        <v>150</v>
      </c>
    </row>
    <row r="53" spans="1:7" ht="15.6" x14ac:dyDescent="0.3">
      <c r="A53" s="31" t="s">
        <v>143</v>
      </c>
      <c r="B53" s="34">
        <f>SUM(B49:B52)</f>
        <v>280</v>
      </c>
      <c r="C53" s="34">
        <f t="shared" ref="C53:E53" si="1">SUM(C49:C52)</f>
        <v>220</v>
      </c>
      <c r="D53" s="34">
        <f t="shared" si="1"/>
        <v>250</v>
      </c>
      <c r="E53" s="34">
        <f t="shared" si="1"/>
        <v>150</v>
      </c>
      <c r="F53" s="36"/>
      <c r="G53" s="36"/>
    </row>
    <row r="54" spans="1:7" ht="15.75" customHeight="1" x14ac:dyDescent="0.3">
      <c r="A54" s="31" t="s">
        <v>144</v>
      </c>
      <c r="B54" s="49">
        <v>280</v>
      </c>
      <c r="C54" s="49">
        <v>220</v>
      </c>
      <c r="D54" s="49">
        <v>250</v>
      </c>
      <c r="E54" s="49">
        <v>150</v>
      </c>
      <c r="F54" s="36"/>
      <c r="G54" s="36"/>
    </row>
    <row r="58" spans="1:7" ht="15.75" customHeight="1" x14ac:dyDescent="0.3">
      <c r="A58" s="37" t="s">
        <v>146</v>
      </c>
      <c r="B58" s="17">
        <f>SUMPRODUCT(B41:E44,B49:E52)</f>
        <v>220650</v>
      </c>
    </row>
  </sheetData>
  <mergeCells count="4">
    <mergeCell ref="A2:I3"/>
    <mergeCell ref="A13:I14"/>
    <mergeCell ref="B16:E16"/>
    <mergeCell ref="A36:I37"/>
  </mergeCells>
  <conditionalFormatting sqref="B41:E4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4039E-D0D8-494F-9676-46C244C91BA9}">
  <dimension ref="A1:G48"/>
  <sheetViews>
    <sheetView showGridLines="0" workbookViewId="0"/>
  </sheetViews>
  <sheetFormatPr defaultRowHeight="13.2" x14ac:dyDescent="0.25"/>
  <cols>
    <col min="1" max="1" width="2.33203125" customWidth="1"/>
    <col min="2" max="2" width="6.33203125" bestFit="1" customWidth="1"/>
    <col min="3" max="3" width="42.88671875" bestFit="1" customWidth="1"/>
    <col min="4" max="4" width="13.21875" bestFit="1" customWidth="1"/>
    <col min="5" max="5" width="14" bestFit="1" customWidth="1"/>
    <col min="6" max="6" width="7.109375" bestFit="1" customWidth="1"/>
    <col min="7" max="7" width="5.6640625" bestFit="1" customWidth="1"/>
  </cols>
  <sheetData>
    <row r="1" spans="1:5" x14ac:dyDescent="0.25">
      <c r="A1" s="2" t="s">
        <v>15</v>
      </c>
    </row>
    <row r="2" spans="1:5" x14ac:dyDescent="0.25">
      <c r="A2" s="2" t="s">
        <v>147</v>
      </c>
    </row>
    <row r="3" spans="1:5" x14ac:dyDescent="0.25">
      <c r="A3" s="2" t="s">
        <v>148</v>
      </c>
    </row>
    <row r="4" spans="1:5" x14ac:dyDescent="0.25">
      <c r="A4" s="2" t="s">
        <v>16</v>
      </c>
    </row>
    <row r="5" spans="1:5" x14ac:dyDescent="0.25">
      <c r="A5" s="2" t="s">
        <v>17</v>
      </c>
    </row>
    <row r="6" spans="1:5" x14ac:dyDescent="0.25">
      <c r="A6" s="2"/>
      <c r="B6" t="s">
        <v>18</v>
      </c>
    </row>
    <row r="7" spans="1:5" x14ac:dyDescent="0.25">
      <c r="A7" s="2"/>
      <c r="B7" t="s">
        <v>53</v>
      </c>
    </row>
    <row r="8" spans="1:5" x14ac:dyDescent="0.25">
      <c r="A8" s="2"/>
      <c r="B8" t="s">
        <v>149</v>
      </c>
    </row>
    <row r="9" spans="1:5" x14ac:dyDescent="0.25">
      <c r="A9" s="2" t="s">
        <v>20</v>
      </c>
    </row>
    <row r="10" spans="1:5" x14ac:dyDescent="0.25">
      <c r="B10" t="s">
        <v>21</v>
      </c>
    </row>
    <row r="11" spans="1:5" x14ac:dyDescent="0.25">
      <c r="B11" t="s">
        <v>22</v>
      </c>
    </row>
    <row r="14" spans="1:5" ht="13.8" thickBot="1" x14ac:dyDescent="0.3">
      <c r="A14" t="s">
        <v>150</v>
      </c>
    </row>
    <row r="15" spans="1:5" ht="13.8" thickBot="1" x14ac:dyDescent="0.3">
      <c r="B15" s="4" t="s">
        <v>24</v>
      </c>
      <c r="C15" s="4" t="s">
        <v>25</v>
      </c>
      <c r="D15" s="4" t="s">
        <v>26</v>
      </c>
      <c r="E15" s="4" t="s">
        <v>27</v>
      </c>
    </row>
    <row r="16" spans="1:5" ht="13.8" thickBot="1" x14ac:dyDescent="0.3">
      <c r="B16" s="3" t="s">
        <v>151</v>
      </c>
      <c r="C16" s="3" t="s">
        <v>152</v>
      </c>
      <c r="D16" s="3">
        <v>0</v>
      </c>
      <c r="E16" s="3">
        <v>220650</v>
      </c>
    </row>
    <row r="19" spans="1:6" ht="13.8" thickBot="1" x14ac:dyDescent="0.3">
      <c r="A19" t="s">
        <v>28</v>
      </c>
    </row>
    <row r="20" spans="1:6" ht="13.8" thickBot="1" x14ac:dyDescent="0.3">
      <c r="B20" s="4" t="s">
        <v>24</v>
      </c>
      <c r="C20" s="4" t="s">
        <v>25</v>
      </c>
      <c r="D20" s="4" t="s">
        <v>26</v>
      </c>
      <c r="E20" s="4" t="s">
        <v>27</v>
      </c>
      <c r="F20" s="4" t="s">
        <v>29</v>
      </c>
    </row>
    <row r="21" spans="1:6" x14ac:dyDescent="0.25">
      <c r="B21" s="5" t="s">
        <v>153</v>
      </c>
      <c r="C21" s="5" t="s">
        <v>154</v>
      </c>
      <c r="D21" s="5">
        <v>0</v>
      </c>
      <c r="E21" s="5">
        <v>0</v>
      </c>
      <c r="F21" s="5" t="s">
        <v>35</v>
      </c>
    </row>
    <row r="22" spans="1:6" x14ac:dyDescent="0.25">
      <c r="B22" s="5" t="s">
        <v>155</v>
      </c>
      <c r="C22" s="5" t="s">
        <v>156</v>
      </c>
      <c r="D22" s="5">
        <v>0</v>
      </c>
      <c r="E22" s="5">
        <v>100</v>
      </c>
      <c r="F22" s="5" t="s">
        <v>35</v>
      </c>
    </row>
    <row r="23" spans="1:6" x14ac:dyDescent="0.25">
      <c r="B23" s="5" t="s">
        <v>157</v>
      </c>
      <c r="C23" s="5" t="s">
        <v>158</v>
      </c>
      <c r="D23" s="5">
        <v>0</v>
      </c>
      <c r="E23" s="5">
        <v>50</v>
      </c>
      <c r="F23" s="5" t="s">
        <v>35</v>
      </c>
    </row>
    <row r="24" spans="1:6" x14ac:dyDescent="0.25">
      <c r="B24" s="5" t="s">
        <v>159</v>
      </c>
      <c r="C24" s="5" t="s">
        <v>160</v>
      </c>
      <c r="D24" s="5">
        <v>0</v>
      </c>
      <c r="E24" s="5">
        <v>150</v>
      </c>
      <c r="F24" s="5" t="s">
        <v>35</v>
      </c>
    </row>
    <row r="25" spans="1:6" x14ac:dyDescent="0.25">
      <c r="B25" s="5" t="s">
        <v>161</v>
      </c>
      <c r="C25" s="5" t="s">
        <v>162</v>
      </c>
      <c r="D25" s="5">
        <v>0</v>
      </c>
      <c r="E25" s="5">
        <v>130</v>
      </c>
      <c r="F25" s="5" t="s">
        <v>35</v>
      </c>
    </row>
    <row r="26" spans="1:6" x14ac:dyDescent="0.25">
      <c r="B26" s="5" t="s">
        <v>163</v>
      </c>
      <c r="C26" s="5" t="s">
        <v>164</v>
      </c>
      <c r="D26" s="5">
        <v>0</v>
      </c>
      <c r="E26" s="5">
        <v>120</v>
      </c>
      <c r="F26" s="5" t="s">
        <v>35</v>
      </c>
    </row>
    <row r="27" spans="1:6" x14ac:dyDescent="0.25">
      <c r="B27" s="5" t="s">
        <v>165</v>
      </c>
      <c r="C27" s="5" t="s">
        <v>166</v>
      </c>
      <c r="D27" s="5">
        <v>0</v>
      </c>
      <c r="E27" s="5">
        <v>0</v>
      </c>
      <c r="F27" s="5" t="s">
        <v>35</v>
      </c>
    </row>
    <row r="28" spans="1:6" x14ac:dyDescent="0.25">
      <c r="B28" s="5" t="s">
        <v>167</v>
      </c>
      <c r="C28" s="5" t="s">
        <v>168</v>
      </c>
      <c r="D28" s="5">
        <v>0</v>
      </c>
      <c r="E28" s="5">
        <v>0</v>
      </c>
      <c r="F28" s="5" t="s">
        <v>35</v>
      </c>
    </row>
    <row r="29" spans="1:6" x14ac:dyDescent="0.25">
      <c r="B29" s="5" t="s">
        <v>169</v>
      </c>
      <c r="C29" s="5" t="s">
        <v>170</v>
      </c>
      <c r="D29" s="5">
        <v>0</v>
      </c>
      <c r="E29" s="5">
        <v>0</v>
      </c>
      <c r="F29" s="5" t="s">
        <v>35</v>
      </c>
    </row>
    <row r="30" spans="1:6" x14ac:dyDescent="0.25">
      <c r="B30" s="5" t="s">
        <v>171</v>
      </c>
      <c r="C30" s="5" t="s">
        <v>172</v>
      </c>
      <c r="D30" s="5">
        <v>0</v>
      </c>
      <c r="E30" s="5">
        <v>0</v>
      </c>
      <c r="F30" s="5" t="s">
        <v>35</v>
      </c>
    </row>
    <row r="31" spans="1:6" x14ac:dyDescent="0.25">
      <c r="B31" s="5" t="s">
        <v>173</v>
      </c>
      <c r="C31" s="5" t="s">
        <v>174</v>
      </c>
      <c r="D31" s="5">
        <v>0</v>
      </c>
      <c r="E31" s="5">
        <v>200</v>
      </c>
      <c r="F31" s="5" t="s">
        <v>35</v>
      </c>
    </row>
    <row r="32" spans="1:6" x14ac:dyDescent="0.25">
      <c r="B32" s="5" t="s">
        <v>175</v>
      </c>
      <c r="C32" s="5" t="s">
        <v>176</v>
      </c>
      <c r="D32" s="5">
        <v>0</v>
      </c>
      <c r="E32" s="5">
        <v>0</v>
      </c>
      <c r="F32" s="5" t="s">
        <v>35</v>
      </c>
    </row>
    <row r="33" spans="1:7" x14ac:dyDescent="0.25">
      <c r="B33" s="5" t="s">
        <v>177</v>
      </c>
      <c r="C33" s="5" t="s">
        <v>178</v>
      </c>
      <c r="D33" s="5">
        <v>0</v>
      </c>
      <c r="E33" s="5">
        <v>150</v>
      </c>
      <c r="F33" s="5" t="s">
        <v>35</v>
      </c>
    </row>
    <row r="34" spans="1:7" x14ac:dyDescent="0.25">
      <c r="B34" s="5" t="s">
        <v>179</v>
      </c>
      <c r="C34" s="5" t="s">
        <v>180</v>
      </c>
      <c r="D34" s="5">
        <v>0</v>
      </c>
      <c r="E34" s="5">
        <v>0</v>
      </c>
      <c r="F34" s="5" t="s">
        <v>35</v>
      </c>
    </row>
    <row r="35" spans="1:7" x14ac:dyDescent="0.25">
      <c r="B35" s="5" t="s">
        <v>181</v>
      </c>
      <c r="C35" s="5" t="s">
        <v>182</v>
      </c>
      <c r="D35" s="5">
        <v>0</v>
      </c>
      <c r="E35" s="5">
        <v>0</v>
      </c>
      <c r="F35" s="5" t="s">
        <v>35</v>
      </c>
    </row>
    <row r="36" spans="1:7" ht="13.8" thickBot="1" x14ac:dyDescent="0.3">
      <c r="B36" s="3" t="s">
        <v>183</v>
      </c>
      <c r="C36" s="3" t="s">
        <v>184</v>
      </c>
      <c r="D36" s="3">
        <v>0</v>
      </c>
      <c r="E36" s="3">
        <v>0</v>
      </c>
      <c r="F36" s="3" t="s">
        <v>35</v>
      </c>
    </row>
    <row r="39" spans="1:7" ht="13.8" thickBot="1" x14ac:dyDescent="0.3">
      <c r="A39" t="s">
        <v>5</v>
      </c>
    </row>
    <row r="40" spans="1:7" ht="13.8" thickBot="1" x14ac:dyDescent="0.3">
      <c r="B40" s="4" t="s">
        <v>24</v>
      </c>
      <c r="C40" s="4" t="s">
        <v>25</v>
      </c>
      <c r="D40" s="4" t="s">
        <v>30</v>
      </c>
      <c r="E40" s="4" t="s">
        <v>31</v>
      </c>
      <c r="F40" s="4" t="s">
        <v>32</v>
      </c>
      <c r="G40" s="4" t="s">
        <v>33</v>
      </c>
    </row>
    <row r="41" spans="1:7" x14ac:dyDescent="0.25">
      <c r="B41" s="5" t="s">
        <v>185</v>
      </c>
      <c r="C41" s="5" t="s">
        <v>186</v>
      </c>
      <c r="D41" s="5">
        <v>280</v>
      </c>
      <c r="E41" s="5" t="s">
        <v>187</v>
      </c>
      <c r="F41" s="5" t="s">
        <v>38</v>
      </c>
      <c r="G41" s="5">
        <v>0</v>
      </c>
    </row>
    <row r="42" spans="1:7" x14ac:dyDescent="0.25">
      <c r="B42" s="5" t="s">
        <v>188</v>
      </c>
      <c r="C42" s="5" t="s">
        <v>189</v>
      </c>
      <c r="D42" s="5">
        <v>220</v>
      </c>
      <c r="E42" s="5" t="s">
        <v>190</v>
      </c>
      <c r="F42" s="5" t="s">
        <v>38</v>
      </c>
      <c r="G42" s="5">
        <v>0</v>
      </c>
    </row>
    <row r="43" spans="1:7" x14ac:dyDescent="0.25">
      <c r="B43" s="5" t="s">
        <v>191</v>
      </c>
      <c r="C43" s="5" t="s">
        <v>192</v>
      </c>
      <c r="D43" s="5">
        <v>250</v>
      </c>
      <c r="E43" s="5" t="s">
        <v>193</v>
      </c>
      <c r="F43" s="5" t="s">
        <v>38</v>
      </c>
      <c r="G43" s="5">
        <v>0</v>
      </c>
    </row>
    <row r="44" spans="1:7" x14ac:dyDescent="0.25">
      <c r="B44" s="5" t="s">
        <v>194</v>
      </c>
      <c r="C44" s="5" t="s">
        <v>195</v>
      </c>
      <c r="D44" s="5">
        <v>150</v>
      </c>
      <c r="E44" s="5" t="s">
        <v>196</v>
      </c>
      <c r="F44" s="5" t="s">
        <v>38</v>
      </c>
      <c r="G44" s="5">
        <v>0</v>
      </c>
    </row>
    <row r="45" spans="1:7" x14ac:dyDescent="0.25">
      <c r="B45" s="5" t="s">
        <v>197</v>
      </c>
      <c r="C45" s="5" t="s">
        <v>198</v>
      </c>
      <c r="D45" s="5">
        <v>300</v>
      </c>
      <c r="E45" s="5" t="s">
        <v>199</v>
      </c>
      <c r="F45" s="5" t="s">
        <v>38</v>
      </c>
      <c r="G45" s="5">
        <v>0</v>
      </c>
    </row>
    <row r="46" spans="1:7" x14ac:dyDescent="0.25">
      <c r="B46" s="5" t="s">
        <v>200</v>
      </c>
      <c r="C46" s="5" t="s">
        <v>201</v>
      </c>
      <c r="D46" s="5">
        <v>250</v>
      </c>
      <c r="E46" s="5" t="s">
        <v>202</v>
      </c>
      <c r="F46" s="5" t="s">
        <v>38</v>
      </c>
      <c r="G46" s="5">
        <v>0</v>
      </c>
    </row>
    <row r="47" spans="1:7" x14ac:dyDescent="0.25">
      <c r="B47" s="5" t="s">
        <v>203</v>
      </c>
      <c r="C47" s="5" t="s">
        <v>204</v>
      </c>
      <c r="D47" s="5">
        <v>200</v>
      </c>
      <c r="E47" s="5" t="s">
        <v>205</v>
      </c>
      <c r="F47" s="5" t="s">
        <v>38</v>
      </c>
      <c r="G47" s="5">
        <v>0</v>
      </c>
    </row>
    <row r="48" spans="1:7" ht="13.8" thickBot="1" x14ac:dyDescent="0.3">
      <c r="B48" s="3" t="s">
        <v>206</v>
      </c>
      <c r="C48" s="3" t="s">
        <v>207</v>
      </c>
      <c r="D48" s="3">
        <v>150</v>
      </c>
      <c r="E48" s="3" t="s">
        <v>208</v>
      </c>
      <c r="F48" s="3" t="s">
        <v>38</v>
      </c>
      <c r="G48" s="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9638-1569-491C-826B-E0E5BDA19D6F}">
  <dimension ref="A1:H36"/>
  <sheetViews>
    <sheetView showGridLines="0" topLeftCell="A5" workbookViewId="0"/>
  </sheetViews>
  <sheetFormatPr defaultRowHeight="13.2" x14ac:dyDescent="0.25"/>
  <cols>
    <col min="1" max="1" width="2.33203125" customWidth="1"/>
    <col min="2" max="2" width="6.33203125" bestFit="1" customWidth="1"/>
    <col min="3" max="3" width="25.109375" bestFit="1" customWidth="1"/>
    <col min="4" max="4" width="5.77734375" bestFit="1" customWidth="1"/>
    <col min="5" max="5" width="8.6640625" bestFit="1" customWidth="1"/>
    <col min="6" max="6" width="10.21875" bestFit="1" customWidth="1"/>
    <col min="7" max="8" width="9.21875" bestFit="1" customWidth="1"/>
  </cols>
  <sheetData>
    <row r="1" spans="1:8" x14ac:dyDescent="0.25">
      <c r="A1" s="2" t="s">
        <v>39</v>
      </c>
    </row>
    <row r="2" spans="1:8" x14ac:dyDescent="0.25">
      <c r="A2" s="2" t="s">
        <v>147</v>
      </c>
    </row>
    <row r="3" spans="1:8" x14ac:dyDescent="0.25">
      <c r="A3" s="2" t="s">
        <v>209</v>
      </c>
    </row>
    <row r="6" spans="1:8" ht="13.8" thickBot="1" x14ac:dyDescent="0.3">
      <c r="A6" t="s">
        <v>28</v>
      </c>
    </row>
    <row r="7" spans="1:8" x14ac:dyDescent="0.25">
      <c r="B7" s="6"/>
      <c r="C7" s="6"/>
      <c r="D7" s="6" t="s">
        <v>40</v>
      </c>
      <c r="E7" s="6" t="s">
        <v>42</v>
      </c>
      <c r="F7" s="6" t="s">
        <v>44</v>
      </c>
      <c r="G7" s="6" t="s">
        <v>46</v>
      </c>
      <c r="H7" s="6" t="s">
        <v>46</v>
      </c>
    </row>
    <row r="8" spans="1:8" ht="13.8" thickBot="1" x14ac:dyDescent="0.3">
      <c r="B8" s="7" t="s">
        <v>24</v>
      </c>
      <c r="C8" s="7" t="s">
        <v>25</v>
      </c>
      <c r="D8" s="7" t="s">
        <v>41</v>
      </c>
      <c r="E8" s="7" t="s">
        <v>43</v>
      </c>
      <c r="F8" s="7" t="s">
        <v>45</v>
      </c>
      <c r="G8" s="7" t="s">
        <v>47</v>
      </c>
      <c r="H8" s="7" t="s">
        <v>48</v>
      </c>
    </row>
    <row r="9" spans="1:8" x14ac:dyDescent="0.25">
      <c r="B9" s="5" t="s">
        <v>153</v>
      </c>
      <c r="C9" s="5" t="s">
        <v>154</v>
      </c>
      <c r="D9" s="5">
        <v>0</v>
      </c>
      <c r="E9" s="5">
        <v>95</v>
      </c>
      <c r="F9" s="5">
        <v>325</v>
      </c>
      <c r="G9" s="5">
        <v>1E+30</v>
      </c>
      <c r="H9" s="5">
        <v>95</v>
      </c>
    </row>
    <row r="10" spans="1:8" x14ac:dyDescent="0.25">
      <c r="B10" s="5" t="s">
        <v>155</v>
      </c>
      <c r="C10" s="5" t="s">
        <v>156</v>
      </c>
      <c r="D10" s="5">
        <v>100</v>
      </c>
      <c r="E10" s="5">
        <v>0</v>
      </c>
      <c r="F10" s="5">
        <v>575</v>
      </c>
      <c r="G10" s="5">
        <v>25</v>
      </c>
      <c r="H10" s="5">
        <v>25</v>
      </c>
    </row>
    <row r="11" spans="1:8" x14ac:dyDescent="0.25">
      <c r="B11" s="5" t="s">
        <v>157</v>
      </c>
      <c r="C11" s="5" t="s">
        <v>158</v>
      </c>
      <c r="D11" s="5">
        <v>50</v>
      </c>
      <c r="E11" s="5">
        <v>0</v>
      </c>
      <c r="F11" s="5">
        <v>510</v>
      </c>
      <c r="G11" s="5">
        <v>25</v>
      </c>
      <c r="H11" s="5">
        <v>25</v>
      </c>
    </row>
    <row r="12" spans="1:8" x14ac:dyDescent="0.25">
      <c r="B12" s="5" t="s">
        <v>159</v>
      </c>
      <c r="C12" s="5" t="s">
        <v>160</v>
      </c>
      <c r="D12" s="5">
        <v>150</v>
      </c>
      <c r="E12" s="5">
        <v>0</v>
      </c>
      <c r="F12" s="5">
        <v>230</v>
      </c>
      <c r="G12" s="5">
        <v>230</v>
      </c>
      <c r="H12" s="5">
        <v>230</v>
      </c>
    </row>
    <row r="13" spans="1:8" x14ac:dyDescent="0.25">
      <c r="B13" s="5" t="s">
        <v>161</v>
      </c>
      <c r="C13" s="5" t="s">
        <v>162</v>
      </c>
      <c r="D13" s="5">
        <v>130</v>
      </c>
      <c r="E13" s="5">
        <v>0</v>
      </c>
      <c r="F13" s="5">
        <v>105</v>
      </c>
      <c r="G13" s="5">
        <v>95</v>
      </c>
      <c r="H13" s="5">
        <v>25</v>
      </c>
    </row>
    <row r="14" spans="1:8" x14ac:dyDescent="0.25">
      <c r="B14" s="5" t="s">
        <v>163</v>
      </c>
      <c r="C14" s="5" t="s">
        <v>164</v>
      </c>
      <c r="D14" s="5">
        <v>120</v>
      </c>
      <c r="E14" s="5">
        <v>0</v>
      </c>
      <c r="F14" s="5">
        <v>450</v>
      </c>
      <c r="G14" s="5">
        <v>25</v>
      </c>
      <c r="H14" s="5">
        <v>95</v>
      </c>
    </row>
    <row r="15" spans="1:8" x14ac:dyDescent="0.25">
      <c r="B15" s="5" t="s">
        <v>165</v>
      </c>
      <c r="C15" s="5" t="s">
        <v>166</v>
      </c>
      <c r="D15" s="5">
        <v>0</v>
      </c>
      <c r="E15" s="5">
        <v>25</v>
      </c>
      <c r="F15" s="5">
        <v>410</v>
      </c>
      <c r="G15" s="5">
        <v>1E+30</v>
      </c>
      <c r="H15" s="5">
        <v>25</v>
      </c>
    </row>
    <row r="16" spans="1:8" x14ac:dyDescent="0.25">
      <c r="B16" s="5" t="s">
        <v>167</v>
      </c>
      <c r="C16" s="5" t="s">
        <v>168</v>
      </c>
      <c r="D16" s="5">
        <v>0</v>
      </c>
      <c r="E16" s="5">
        <v>435</v>
      </c>
      <c r="F16" s="5">
        <v>540</v>
      </c>
      <c r="G16" s="5">
        <v>1E+30</v>
      </c>
      <c r="H16" s="5">
        <v>435</v>
      </c>
    </row>
    <row r="17" spans="1:8" x14ac:dyDescent="0.25">
      <c r="B17" s="5" t="s">
        <v>169</v>
      </c>
      <c r="C17" s="5" t="s">
        <v>170</v>
      </c>
      <c r="D17" s="5">
        <v>0</v>
      </c>
      <c r="E17" s="5">
        <v>460</v>
      </c>
      <c r="F17" s="5">
        <v>260</v>
      </c>
      <c r="G17" s="5">
        <v>1E+30</v>
      </c>
      <c r="H17" s="5">
        <v>460</v>
      </c>
    </row>
    <row r="18" spans="1:8" x14ac:dyDescent="0.25">
      <c r="B18" s="5" t="s">
        <v>171</v>
      </c>
      <c r="C18" s="5" t="s">
        <v>172</v>
      </c>
      <c r="D18" s="5">
        <v>0</v>
      </c>
      <c r="E18" s="5">
        <v>25</v>
      </c>
      <c r="F18" s="5">
        <v>170</v>
      </c>
      <c r="G18" s="5">
        <v>1E+30</v>
      </c>
      <c r="H18" s="5">
        <v>25</v>
      </c>
    </row>
    <row r="19" spans="1:8" x14ac:dyDescent="0.25">
      <c r="B19" s="5" t="s">
        <v>173</v>
      </c>
      <c r="C19" s="5" t="s">
        <v>174</v>
      </c>
      <c r="D19" s="5">
        <v>200</v>
      </c>
      <c r="E19" s="5">
        <v>0</v>
      </c>
      <c r="F19" s="5">
        <v>80</v>
      </c>
      <c r="G19" s="5">
        <v>25</v>
      </c>
      <c r="H19" s="5">
        <v>1E+30</v>
      </c>
    </row>
    <row r="20" spans="1:8" x14ac:dyDescent="0.25">
      <c r="B20" s="5" t="s">
        <v>175</v>
      </c>
      <c r="C20" s="5" t="s">
        <v>176</v>
      </c>
      <c r="D20" s="5">
        <v>0</v>
      </c>
      <c r="E20" s="5">
        <v>900</v>
      </c>
      <c r="F20" s="5">
        <v>700</v>
      </c>
      <c r="G20" s="5">
        <v>1E+30</v>
      </c>
      <c r="H20" s="5">
        <v>900</v>
      </c>
    </row>
    <row r="21" spans="1:8" x14ac:dyDescent="0.25">
      <c r="B21" s="5" t="s">
        <v>177</v>
      </c>
      <c r="C21" s="5" t="s">
        <v>178</v>
      </c>
      <c r="D21" s="5">
        <v>150</v>
      </c>
      <c r="E21" s="5">
        <v>0</v>
      </c>
      <c r="F21" s="5">
        <v>130</v>
      </c>
      <c r="G21" s="5">
        <v>25</v>
      </c>
      <c r="H21" s="5">
        <v>1E+30</v>
      </c>
    </row>
    <row r="22" spans="1:8" x14ac:dyDescent="0.25">
      <c r="B22" s="5" t="s">
        <v>179</v>
      </c>
      <c r="C22" s="5" t="s">
        <v>180</v>
      </c>
      <c r="D22" s="5">
        <v>0</v>
      </c>
      <c r="E22" s="5">
        <v>25</v>
      </c>
      <c r="F22" s="5">
        <v>500</v>
      </c>
      <c r="G22" s="5">
        <v>1E+30</v>
      </c>
      <c r="H22" s="5">
        <v>25</v>
      </c>
    </row>
    <row r="23" spans="1:8" x14ac:dyDescent="0.25">
      <c r="B23" s="5" t="s">
        <v>181</v>
      </c>
      <c r="C23" s="5" t="s">
        <v>182</v>
      </c>
      <c r="D23" s="5">
        <v>0</v>
      </c>
      <c r="E23" s="5">
        <v>50</v>
      </c>
      <c r="F23" s="5">
        <v>460</v>
      </c>
      <c r="G23" s="5">
        <v>1E+30</v>
      </c>
      <c r="H23" s="5">
        <v>50</v>
      </c>
    </row>
    <row r="24" spans="1:8" ht="13.8" thickBot="1" x14ac:dyDescent="0.3">
      <c r="B24" s="3" t="s">
        <v>183</v>
      </c>
      <c r="C24" s="3" t="s">
        <v>184</v>
      </c>
      <c r="D24" s="3">
        <v>0</v>
      </c>
      <c r="E24" s="3">
        <v>230</v>
      </c>
      <c r="F24" s="3">
        <v>360</v>
      </c>
      <c r="G24" s="3">
        <v>1E+30</v>
      </c>
      <c r="H24" s="3">
        <v>230</v>
      </c>
    </row>
    <row r="26" spans="1:8" ht="13.8" thickBot="1" x14ac:dyDescent="0.3">
      <c r="A26" t="s">
        <v>5</v>
      </c>
    </row>
    <row r="27" spans="1:8" x14ac:dyDescent="0.25">
      <c r="B27" s="6"/>
      <c r="C27" s="6"/>
      <c r="D27" s="6" t="s">
        <v>40</v>
      </c>
      <c r="E27" s="6" t="s">
        <v>49</v>
      </c>
      <c r="F27" s="6" t="s">
        <v>51</v>
      </c>
      <c r="G27" s="6" t="s">
        <v>46</v>
      </c>
      <c r="H27" s="6" t="s">
        <v>46</v>
      </c>
    </row>
    <row r="28" spans="1:8" ht="13.8" thickBot="1" x14ac:dyDescent="0.3">
      <c r="B28" s="7" t="s">
        <v>24</v>
      </c>
      <c r="C28" s="7" t="s">
        <v>25</v>
      </c>
      <c r="D28" s="7" t="s">
        <v>41</v>
      </c>
      <c r="E28" s="7" t="s">
        <v>50</v>
      </c>
      <c r="F28" s="7" t="s">
        <v>52</v>
      </c>
      <c r="G28" s="7" t="s">
        <v>47</v>
      </c>
      <c r="H28" s="7" t="s">
        <v>48</v>
      </c>
    </row>
    <row r="29" spans="1:8" x14ac:dyDescent="0.25">
      <c r="B29" s="5" t="s">
        <v>185</v>
      </c>
      <c r="C29" s="5" t="s">
        <v>186</v>
      </c>
      <c r="D29" s="5">
        <v>280</v>
      </c>
      <c r="E29" s="5">
        <v>230</v>
      </c>
      <c r="F29" s="5">
        <v>280</v>
      </c>
      <c r="G29" s="5">
        <v>0</v>
      </c>
      <c r="H29" s="5">
        <v>100</v>
      </c>
    </row>
    <row r="30" spans="1:8" x14ac:dyDescent="0.25">
      <c r="B30" s="5" t="s">
        <v>188</v>
      </c>
      <c r="C30" s="5" t="s">
        <v>189</v>
      </c>
      <c r="D30" s="5">
        <v>220</v>
      </c>
      <c r="E30" s="5">
        <v>575</v>
      </c>
      <c r="F30" s="5">
        <v>220</v>
      </c>
      <c r="G30" s="5">
        <v>0</v>
      </c>
      <c r="H30" s="5">
        <v>100</v>
      </c>
    </row>
    <row r="31" spans="1:8" x14ac:dyDescent="0.25">
      <c r="B31" s="5" t="s">
        <v>191</v>
      </c>
      <c r="C31" s="5" t="s">
        <v>192</v>
      </c>
      <c r="D31" s="5">
        <v>250</v>
      </c>
      <c r="E31" s="5">
        <v>510</v>
      </c>
      <c r="F31" s="5">
        <v>250</v>
      </c>
      <c r="G31" s="5">
        <v>0</v>
      </c>
      <c r="H31" s="5">
        <v>50</v>
      </c>
    </row>
    <row r="32" spans="1:8" x14ac:dyDescent="0.25">
      <c r="B32" s="5" t="s">
        <v>194</v>
      </c>
      <c r="C32" s="5" t="s">
        <v>195</v>
      </c>
      <c r="D32" s="5">
        <v>150</v>
      </c>
      <c r="E32" s="5">
        <v>230</v>
      </c>
      <c r="F32" s="5">
        <v>150</v>
      </c>
      <c r="G32" s="5">
        <v>0</v>
      </c>
      <c r="H32" s="5">
        <v>150</v>
      </c>
    </row>
    <row r="33" spans="2:8" x14ac:dyDescent="0.25">
      <c r="B33" s="5" t="s">
        <v>197</v>
      </c>
      <c r="C33" s="5" t="s">
        <v>198</v>
      </c>
      <c r="D33" s="5">
        <v>300</v>
      </c>
      <c r="E33" s="5">
        <v>0</v>
      </c>
      <c r="F33" s="5">
        <v>300</v>
      </c>
      <c r="G33" s="5">
        <v>1E+30</v>
      </c>
      <c r="H33" s="5">
        <v>0</v>
      </c>
    </row>
    <row r="34" spans="2:8" x14ac:dyDescent="0.25">
      <c r="B34" s="5" t="s">
        <v>200</v>
      </c>
      <c r="C34" s="5" t="s">
        <v>201</v>
      </c>
      <c r="D34" s="5">
        <v>250</v>
      </c>
      <c r="E34" s="5">
        <v>-125</v>
      </c>
      <c r="F34" s="5">
        <v>250</v>
      </c>
      <c r="G34" s="5">
        <v>100</v>
      </c>
      <c r="H34" s="5">
        <v>0</v>
      </c>
    </row>
    <row r="35" spans="2:8" x14ac:dyDescent="0.25">
      <c r="B35" s="5" t="s">
        <v>203</v>
      </c>
      <c r="C35" s="5" t="s">
        <v>204</v>
      </c>
      <c r="D35" s="5">
        <v>200</v>
      </c>
      <c r="E35" s="5">
        <v>-430</v>
      </c>
      <c r="F35" s="5">
        <v>200</v>
      </c>
      <c r="G35" s="5">
        <v>50</v>
      </c>
      <c r="H35" s="5">
        <v>0</v>
      </c>
    </row>
    <row r="36" spans="2:8" ht="13.8" thickBot="1" x14ac:dyDescent="0.3">
      <c r="B36" s="3" t="s">
        <v>206</v>
      </c>
      <c r="C36" s="3" t="s">
        <v>207</v>
      </c>
      <c r="D36" s="3">
        <v>150</v>
      </c>
      <c r="E36" s="3">
        <v>-100</v>
      </c>
      <c r="F36" s="3">
        <v>150</v>
      </c>
      <c r="G36" s="3">
        <v>100</v>
      </c>
      <c r="H36"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LPP Solver Model</vt:lpstr>
      <vt:lpstr>Answer Report 1</vt:lpstr>
      <vt:lpstr>Sensitivity Report 1</vt:lpstr>
      <vt:lpstr>Transportation Model</vt:lpstr>
      <vt:lpstr>Answer Report 2</vt:lpstr>
      <vt:lpstr>Sensitivity Report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prakash</dc:creator>
  <cp:lastModifiedBy>Aryan prakash</cp:lastModifiedBy>
  <dcterms:created xsi:type="dcterms:W3CDTF">2025-10-28T10:25:20Z</dcterms:created>
  <dcterms:modified xsi:type="dcterms:W3CDTF">2026-02-18T02:20:51Z</dcterms:modified>
</cp:coreProperties>
</file>